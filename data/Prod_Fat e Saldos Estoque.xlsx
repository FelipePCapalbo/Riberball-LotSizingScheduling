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.alves\OneDrive - RIBERBALL MERCANTIL E INDUSTRIAL LTDA\Área de Trabalho\UFSCar\"/>
    </mc:Choice>
  </mc:AlternateContent>
  <xr:revisionPtr revIDLastSave="0" documentId="13_ncr:1_{A95DE481-B346-46D5-A888-2EA52ACFDE0B}" xr6:coauthVersionLast="47" xr6:coauthVersionMax="47" xr10:uidLastSave="{00000000-0000-0000-0000-000000000000}"/>
  <bookViews>
    <workbookView xWindow="22932" yWindow="-108" windowWidth="23256" windowHeight="12456" activeTab="3" xr2:uid="{625D4E57-2C7A-4F50-9FF6-6D661EE92A5A}"/>
  </bookViews>
  <sheets>
    <sheet name="Faturado" sheetId="7" r:id="rId1"/>
    <sheet name="Previsto" sheetId="3" r:id="rId2"/>
    <sheet name="Produzido" sheetId="4" r:id="rId3"/>
    <sheet name="Saldos Estoqu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4" l="1"/>
  <c r="R6" i="4"/>
  <c r="C21" i="4" l="1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B21" i="4"/>
</calcChain>
</file>

<file path=xl/sharedStrings.xml><?xml version="1.0" encoding="utf-8"?>
<sst xmlns="http://schemas.openxmlformats.org/spreadsheetml/2006/main" count="76" uniqueCount="22">
  <si>
    <t>RED. 10</t>
  </si>
  <si>
    <t>PLATINO RED. 10</t>
  </si>
  <si>
    <t>PLATINO RED. 05</t>
  </si>
  <si>
    <t>RED. 05</t>
  </si>
  <si>
    <t>RED. 07</t>
  </si>
  <si>
    <t>FESTA 7.0</t>
  </si>
  <si>
    <t>RED. 08</t>
  </si>
  <si>
    <t>RED. 09</t>
  </si>
  <si>
    <t>PLATINO RED. 09</t>
  </si>
  <si>
    <t>GF 09</t>
  </si>
  <si>
    <t>CORACAO 06</t>
  </si>
  <si>
    <t>FAT BALL 250</t>
  </si>
  <si>
    <t>GF 6.5</t>
  </si>
  <si>
    <t>MAXI BALL 350</t>
  </si>
  <si>
    <t>PIC 260</t>
  </si>
  <si>
    <t>TOP 6.5</t>
  </si>
  <si>
    <t>RED. 16</t>
  </si>
  <si>
    <t>PRODUTO</t>
  </si>
  <si>
    <t>FATURAMENTO DE PRODUTO (Kg)</t>
  </si>
  <si>
    <t>PREVISÃO - FATURAMENTO DE PRODUTO (Kg)</t>
  </si>
  <si>
    <t>PRODUÇÃO (Kg)</t>
  </si>
  <si>
    <t>SALDOS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</si>
</sst>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 applyBorder="1"/>
    <xf numFmtId="17" fontId="4" fillId="0" borderId="0" xfId="0" applyNumberFormat="1" applyFont="1"/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3" borderId="0" xfId="0" applyFont="1" applyFill="1"/>
    <xf numFmtId="17" fontId="4" fillId="3" borderId="0" xfId="0" applyNumberFormat="1" applyFont="1" applyFill="1"/>
    <xf numFmtId="0" fontId="0" fillId="4" borderId="0" xfId="0" applyFill="1"/>
    <xf numFmtId="0" fontId="3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164" fontId="0" fillId="0" borderId="0" xfId="0" applyNumberFormat="1"/>
    <xf numFmtId="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EE5E-4F21-4137-971D-E7E87541D906}">
  <dimension ref="A1:AA21"/>
  <sheetViews>
    <sheetView workbookViewId="0">
      <selection activeCell="C27" sqref="C27"/>
    </sheetView>
  </sheetViews>
  <sheetFormatPr defaultRowHeight="14.4" x14ac:dyDescent="0.3"/>
  <cols>
    <col min="1" max="1" width="16.44140625" customWidth="1"/>
    <col min="18" max="18" width="8.88671875" bestFit="1" customWidth="1"/>
    <col min="23" max="23" width="6.109375" customWidth="1"/>
    <col min="28" max="28" width="3.88671875" customWidth="1"/>
  </cols>
  <sheetData>
    <row r="1" spans="1:27" ht="25.2" customHeight="1" x14ac:dyDescent="0.3">
      <c r="A1" s="4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27" x14ac:dyDescent="0.3">
      <c r="A3" s="5" t="s">
        <v>17</v>
      </c>
      <c r="B3" s="6">
        <v>45292</v>
      </c>
      <c r="C3" s="6">
        <v>45323</v>
      </c>
      <c r="D3" s="6">
        <v>45352</v>
      </c>
      <c r="E3" s="6">
        <v>45383</v>
      </c>
      <c r="F3" s="6">
        <v>45413</v>
      </c>
      <c r="G3" s="6">
        <v>45444</v>
      </c>
      <c r="H3" s="6">
        <v>45474</v>
      </c>
      <c r="I3" s="6">
        <v>45505</v>
      </c>
      <c r="J3" s="6">
        <v>45536</v>
      </c>
      <c r="K3" s="6">
        <v>45566</v>
      </c>
      <c r="L3" s="6">
        <v>45597</v>
      </c>
      <c r="M3" s="6">
        <v>45627</v>
      </c>
      <c r="N3" s="6">
        <v>45658</v>
      </c>
      <c r="O3" s="6">
        <v>45689</v>
      </c>
      <c r="P3" s="6">
        <v>45717</v>
      </c>
      <c r="Q3" s="6">
        <v>45748</v>
      </c>
      <c r="R3" s="6">
        <v>45778</v>
      </c>
      <c r="S3" s="2"/>
      <c r="T3" s="2"/>
      <c r="U3" s="2"/>
      <c r="V3" s="2"/>
      <c r="X3" s="2"/>
      <c r="Y3" s="2"/>
      <c r="Z3" s="2"/>
      <c r="AA3" s="2"/>
    </row>
    <row r="4" spans="1:27" x14ac:dyDescent="0.3">
      <c r="A4" s="7" t="s">
        <v>0</v>
      </c>
      <c r="B4" s="1">
        <v>7122.1600000000726</v>
      </c>
      <c r="C4" s="1">
        <v>8689.973948707242</v>
      </c>
      <c r="D4" s="1">
        <v>11543.926443838185</v>
      </c>
      <c r="E4" s="1">
        <v>9799.0404872914478</v>
      </c>
      <c r="F4" s="1">
        <v>10406.913212160134</v>
      </c>
      <c r="G4" s="1">
        <v>9964.4065575261629</v>
      </c>
      <c r="H4" s="1">
        <v>9198.1015312401287</v>
      </c>
      <c r="I4" s="1">
        <v>10491.33692110387</v>
      </c>
      <c r="J4" s="1">
        <v>12057.562346627828</v>
      </c>
      <c r="K4" s="1">
        <v>11422.087211402522</v>
      </c>
      <c r="L4" s="1">
        <v>10656.526392141704</v>
      </c>
      <c r="M4" s="1">
        <v>7712.0236094046732</v>
      </c>
      <c r="N4" s="1">
        <v>7962.7973154796282</v>
      </c>
      <c r="O4" s="1">
        <v>9876.7852948768978</v>
      </c>
      <c r="P4" s="1">
        <v>8587.2205591657166</v>
      </c>
      <c r="Q4" s="1">
        <v>9036.6268780645787</v>
      </c>
      <c r="R4" s="1">
        <v>10882.717711273262</v>
      </c>
    </row>
    <row r="5" spans="1:27" x14ac:dyDescent="0.3">
      <c r="A5" s="7" t="s">
        <v>1</v>
      </c>
      <c r="B5" s="1">
        <v>2984.3105631294638</v>
      </c>
      <c r="C5" s="1">
        <v>2281.0909214402318</v>
      </c>
      <c r="D5" s="1">
        <v>3311.1235587006163</v>
      </c>
      <c r="E5" s="1">
        <v>2998.426737554486</v>
      </c>
      <c r="F5" s="1">
        <v>3204.983967920858</v>
      </c>
      <c r="G5" s="1">
        <v>3409.5255999448705</v>
      </c>
      <c r="H5" s="1">
        <v>2321.4115100387121</v>
      </c>
      <c r="I5" s="1">
        <v>3230.255436050757</v>
      </c>
      <c r="J5" s="1">
        <v>3639.5696912956719</v>
      </c>
      <c r="K5" s="1">
        <v>3975.3472285299108</v>
      </c>
      <c r="L5" s="1">
        <v>3034.8821609208671</v>
      </c>
      <c r="M5" s="1">
        <v>2573.302861473443</v>
      </c>
      <c r="N5" s="1">
        <v>3683.8696655123181</v>
      </c>
      <c r="O5" s="1">
        <v>3051.733838794582</v>
      </c>
      <c r="P5" s="1">
        <v>2060.857028184073</v>
      </c>
      <c r="Q5" s="1">
        <v>3150.0517333298785</v>
      </c>
      <c r="R5" s="1">
        <v>2399.6646338313622</v>
      </c>
    </row>
    <row r="6" spans="1:27" x14ac:dyDescent="0.3">
      <c r="A6" s="7" t="s">
        <v>2</v>
      </c>
      <c r="B6" s="1">
        <v>2457.1465167753204</v>
      </c>
      <c r="C6" s="1">
        <v>2161.4861424935884</v>
      </c>
      <c r="D6" s="1">
        <v>3003.3619369461558</v>
      </c>
      <c r="E6" s="1">
        <v>2757.4213424420523</v>
      </c>
      <c r="F6" s="1">
        <v>3075.6021065962482</v>
      </c>
      <c r="G6" s="1">
        <v>3561.0886632552433</v>
      </c>
      <c r="H6" s="1">
        <v>2619.4594169820662</v>
      </c>
      <c r="I6" s="1">
        <v>2791.6430152672397</v>
      </c>
      <c r="J6" s="1">
        <v>3418.7830748091505</v>
      </c>
      <c r="K6" s="1">
        <v>3898.9159618035146</v>
      </c>
      <c r="L6" s="1">
        <v>3549.4258577122109</v>
      </c>
      <c r="M6" s="1">
        <v>2105.7513417909786</v>
      </c>
      <c r="N6" s="1">
        <v>3009.2715774206945</v>
      </c>
      <c r="O6" s="1">
        <v>3010.9535637019244</v>
      </c>
      <c r="P6" s="1">
        <v>2637.0915410444472</v>
      </c>
      <c r="Q6" s="1">
        <v>2920.0027269500561</v>
      </c>
      <c r="R6" s="1">
        <v>3315.3449885972332</v>
      </c>
    </row>
    <row r="7" spans="1:27" x14ac:dyDescent="0.3">
      <c r="A7" s="7" t="s">
        <v>3</v>
      </c>
      <c r="B7" s="1">
        <v>6489.2078618493233</v>
      </c>
      <c r="C7" s="1">
        <v>6697.1392990135273</v>
      </c>
      <c r="D7" s="1">
        <v>8643.6488050415974</v>
      </c>
      <c r="E7" s="1">
        <v>10432.834453400943</v>
      </c>
      <c r="F7" s="1">
        <v>10052.347161680931</v>
      </c>
      <c r="G7" s="1">
        <v>10885.63143908307</v>
      </c>
      <c r="H7" s="1">
        <v>9071.3285189048274</v>
      </c>
      <c r="I7" s="1">
        <v>10235.155798001955</v>
      </c>
      <c r="J7" s="1">
        <v>11129.718531708986</v>
      </c>
      <c r="K7" s="1">
        <v>12273.451857349166</v>
      </c>
      <c r="L7" s="1">
        <v>10440.89445300361</v>
      </c>
      <c r="M7" s="1">
        <v>8206.3163360575818</v>
      </c>
      <c r="N7" s="1">
        <v>9891.9297625602121</v>
      </c>
      <c r="O7" s="1">
        <v>8841.4458982194919</v>
      </c>
      <c r="P7" s="1">
        <v>9490.0169411020615</v>
      </c>
      <c r="Q7" s="1">
        <v>9558.0490452381182</v>
      </c>
      <c r="R7" s="1">
        <v>12930.679266104635</v>
      </c>
    </row>
    <row r="8" spans="1:27" x14ac:dyDescent="0.3">
      <c r="A8" s="7" t="s">
        <v>4</v>
      </c>
      <c r="B8" s="1">
        <v>8473.5011165007036</v>
      </c>
      <c r="C8" s="1">
        <v>9297.3731426839622</v>
      </c>
      <c r="D8" s="1">
        <v>13609.779369070309</v>
      </c>
      <c r="E8" s="1">
        <v>13663.786503830403</v>
      </c>
      <c r="F8" s="1">
        <v>16612.423720438095</v>
      </c>
      <c r="G8" s="1">
        <v>17289.613446417377</v>
      </c>
      <c r="H8" s="1">
        <v>16986.204629437259</v>
      </c>
      <c r="I8" s="1">
        <v>20513.133975395951</v>
      </c>
      <c r="J8" s="1">
        <v>21314.821005458725</v>
      </c>
      <c r="K8" s="1">
        <v>24660.770085643802</v>
      </c>
      <c r="L8" s="1">
        <v>24991.928769683742</v>
      </c>
      <c r="M8" s="1">
        <v>18661.531739518941</v>
      </c>
      <c r="N8" s="1">
        <v>15700.023779228752</v>
      </c>
      <c r="O8" s="1">
        <v>14956.757784500533</v>
      </c>
      <c r="P8" s="1">
        <v>18500.600377007162</v>
      </c>
      <c r="Q8" s="1">
        <v>17296.735633557782</v>
      </c>
      <c r="R8" s="1">
        <v>20489.261194827228</v>
      </c>
    </row>
    <row r="9" spans="1:27" x14ac:dyDescent="0.3">
      <c r="A9" s="7" t="s">
        <v>5</v>
      </c>
      <c r="B9" s="1">
        <v>24081.896196339178</v>
      </c>
      <c r="C9" s="1">
        <v>16426.237124397856</v>
      </c>
      <c r="D9" s="1">
        <v>21468.162981371217</v>
      </c>
      <c r="E9" s="1">
        <v>16155.765269730371</v>
      </c>
      <c r="F9" s="1">
        <v>17476.902533965105</v>
      </c>
      <c r="G9" s="1">
        <v>18259.998233728555</v>
      </c>
      <c r="H9" s="1">
        <v>16666.966150453958</v>
      </c>
      <c r="I9" s="1">
        <v>18318.606444115445</v>
      </c>
      <c r="J9" s="1">
        <v>25432.679299266532</v>
      </c>
      <c r="K9" s="1">
        <v>25288.470889992332</v>
      </c>
      <c r="L9" s="1">
        <v>23355.00315271291</v>
      </c>
      <c r="M9" s="1">
        <v>16554.170826409936</v>
      </c>
      <c r="N9" s="1">
        <v>18866.549828856791</v>
      </c>
      <c r="O9" s="1">
        <v>21855.469008062468</v>
      </c>
      <c r="P9" s="1">
        <v>17435.153125293516</v>
      </c>
      <c r="Q9" s="1">
        <v>19604.775209648349</v>
      </c>
      <c r="R9" s="1">
        <v>12102.994950552331</v>
      </c>
    </row>
    <row r="10" spans="1:27" x14ac:dyDescent="0.3">
      <c r="A10" s="7" t="s">
        <v>6</v>
      </c>
      <c r="B10" s="1">
        <v>14442.740540597229</v>
      </c>
      <c r="C10" s="1">
        <v>10953.210378717036</v>
      </c>
      <c r="D10" s="1">
        <v>19230.017781264789</v>
      </c>
      <c r="E10" s="1">
        <v>19993.045601542068</v>
      </c>
      <c r="F10" s="1">
        <v>23434.55268197471</v>
      </c>
      <c r="G10" s="1">
        <v>25335.905046917178</v>
      </c>
      <c r="H10" s="1">
        <v>18441.605632797844</v>
      </c>
      <c r="I10" s="1">
        <v>22935.369909716643</v>
      </c>
      <c r="J10" s="1">
        <v>23597.856983347872</v>
      </c>
      <c r="K10" s="1">
        <v>25938.752690218484</v>
      </c>
      <c r="L10" s="1">
        <v>22078.60850587708</v>
      </c>
      <c r="M10" s="1">
        <v>23483.983017937422</v>
      </c>
      <c r="N10" s="1">
        <v>20362.210034377607</v>
      </c>
      <c r="O10" s="1">
        <v>17014.340152718218</v>
      </c>
      <c r="P10" s="1">
        <v>13454.14775999843</v>
      </c>
      <c r="Q10" s="1">
        <v>19441.703720770805</v>
      </c>
      <c r="R10" s="1">
        <v>20336.859524184831</v>
      </c>
    </row>
    <row r="11" spans="1:27" x14ac:dyDescent="0.3">
      <c r="A11" s="7" t="s">
        <v>7</v>
      </c>
      <c r="B11" s="1">
        <v>7285.2476230612974</v>
      </c>
      <c r="C11" s="1">
        <v>9946.6225158321486</v>
      </c>
      <c r="D11" s="1">
        <v>12028.339667975466</v>
      </c>
      <c r="E11" s="1">
        <v>6823.6040203423227</v>
      </c>
      <c r="F11" s="1">
        <v>6937.2305989464876</v>
      </c>
      <c r="G11" s="1">
        <v>7972.3898753365866</v>
      </c>
      <c r="H11" s="1">
        <v>7142.7277579472675</v>
      </c>
      <c r="I11" s="1">
        <v>9370.6008042276117</v>
      </c>
      <c r="J11" s="1">
        <v>12026.582025235162</v>
      </c>
      <c r="K11" s="1">
        <v>12975.859559494429</v>
      </c>
      <c r="L11" s="1">
        <v>11333.227257181048</v>
      </c>
      <c r="M11" s="1">
        <v>6570.3228179824409</v>
      </c>
      <c r="N11" s="1">
        <v>7709.9826478337718</v>
      </c>
      <c r="O11" s="1">
        <v>8980.4755447533753</v>
      </c>
      <c r="P11" s="1">
        <v>5874.255721973921</v>
      </c>
      <c r="Q11" s="1">
        <v>8225.0572858537871</v>
      </c>
      <c r="R11" s="1">
        <v>7389.8877860191124</v>
      </c>
    </row>
    <row r="12" spans="1:27" x14ac:dyDescent="0.3">
      <c r="A12" s="7" t="s">
        <v>8</v>
      </c>
      <c r="B12" s="1">
        <v>5353.2477723338052</v>
      </c>
      <c r="C12" s="1">
        <v>4904.9203888613265</v>
      </c>
      <c r="D12" s="1">
        <v>5746.7022734316679</v>
      </c>
      <c r="E12" s="1">
        <v>5676.8149616089577</v>
      </c>
      <c r="F12" s="1">
        <v>6835.6389109128768</v>
      </c>
      <c r="G12" s="1">
        <v>7569.3096366310447</v>
      </c>
      <c r="H12" s="1">
        <v>6898.6676296907244</v>
      </c>
      <c r="I12" s="1">
        <v>6614.8629631682224</v>
      </c>
      <c r="J12" s="1">
        <v>8713.1691074705577</v>
      </c>
      <c r="K12" s="1">
        <v>9552.6591579426295</v>
      </c>
      <c r="L12" s="1">
        <v>9121.0996036928082</v>
      </c>
      <c r="M12" s="1">
        <v>6415.839819021272</v>
      </c>
      <c r="N12" s="1">
        <v>7696.9628803364931</v>
      </c>
      <c r="O12" s="1">
        <v>8946.7704069557858</v>
      </c>
      <c r="P12" s="1">
        <v>7382.4450674742702</v>
      </c>
      <c r="Q12" s="1">
        <v>8049.0893316169668</v>
      </c>
      <c r="R12" s="1">
        <v>9582.0380976882716</v>
      </c>
    </row>
    <row r="13" spans="1:27" x14ac:dyDescent="0.3">
      <c r="A13" s="7" t="s">
        <v>9</v>
      </c>
      <c r="B13" s="1">
        <v>55045.303101100471</v>
      </c>
      <c r="C13" s="1">
        <v>65296.573777469028</v>
      </c>
      <c r="D13" s="1">
        <v>80340.872750930255</v>
      </c>
      <c r="E13" s="1">
        <v>80313.981126141603</v>
      </c>
      <c r="F13" s="1">
        <v>86499.756509923493</v>
      </c>
      <c r="G13" s="1">
        <v>99033.69346944007</v>
      </c>
      <c r="H13" s="1">
        <v>90456.446079999543</v>
      </c>
      <c r="I13" s="1">
        <v>101188.27144945337</v>
      </c>
      <c r="J13" s="1">
        <v>111907.50517696606</v>
      </c>
      <c r="K13" s="1">
        <v>124511.46734458384</v>
      </c>
      <c r="L13" s="1">
        <v>115166.35969558594</v>
      </c>
      <c r="M13" s="1">
        <v>89310.645848268599</v>
      </c>
      <c r="N13" s="1">
        <v>92577.370005552555</v>
      </c>
      <c r="O13" s="1">
        <v>91364.427780858154</v>
      </c>
      <c r="P13" s="1">
        <v>89168.687713783977</v>
      </c>
      <c r="Q13" s="1">
        <v>102603.29106971613</v>
      </c>
      <c r="R13" s="1">
        <v>119381.54896718153</v>
      </c>
    </row>
    <row r="14" spans="1:27" x14ac:dyDescent="0.3">
      <c r="A14" s="7" t="s">
        <v>10</v>
      </c>
      <c r="B14" s="1">
        <v>310.30310926454547</v>
      </c>
      <c r="C14" s="1">
        <v>658.32670872008043</v>
      </c>
      <c r="D14" s="1">
        <v>936.85564570051702</v>
      </c>
      <c r="E14" s="1">
        <v>1364.5165019703015</v>
      </c>
      <c r="F14" s="1">
        <v>1204.0760225953038</v>
      </c>
      <c r="G14" s="1">
        <v>849.55334415216282</v>
      </c>
      <c r="H14" s="1">
        <v>364.03108169705519</v>
      </c>
      <c r="I14" s="1">
        <v>434.51520000000039</v>
      </c>
      <c r="J14" s="1">
        <v>527.3075624413151</v>
      </c>
      <c r="K14" s="1">
        <v>299.53385744918972</v>
      </c>
      <c r="L14" s="1">
        <v>252.37352931599938</v>
      </c>
      <c r="M14" s="1">
        <v>287.21358064516147</v>
      </c>
      <c r="N14" s="1">
        <v>306.08705246550426</v>
      </c>
      <c r="O14" s="1">
        <v>610.77139305340893</v>
      </c>
      <c r="P14" s="1">
        <v>860.95444520901788</v>
      </c>
      <c r="Q14" s="1">
        <v>1603.1846344370081</v>
      </c>
      <c r="R14" s="1">
        <v>1470.4941914400167</v>
      </c>
    </row>
    <row r="15" spans="1:27" x14ac:dyDescent="0.3">
      <c r="A15" s="7" t="s">
        <v>11</v>
      </c>
      <c r="B15" s="1">
        <v>583.29999999999859</v>
      </c>
      <c r="C15" s="1">
        <v>747.29999999999177</v>
      </c>
      <c r="D15" s="1">
        <v>1437.4000000000201</v>
      </c>
      <c r="E15" s="1">
        <v>1431.2000000000126</v>
      </c>
      <c r="F15" s="1">
        <v>1567.4600000000228</v>
      </c>
      <c r="G15" s="1">
        <v>1937.0800000000345</v>
      </c>
      <c r="H15" s="1">
        <v>1704.5600000000431</v>
      </c>
      <c r="I15" s="1">
        <v>1304.1800000000419</v>
      </c>
      <c r="J15" s="1">
        <v>1468.0000000000352</v>
      </c>
      <c r="K15" s="1">
        <v>2522.3800000000392</v>
      </c>
      <c r="L15" s="1">
        <v>1447.3600000000351</v>
      </c>
      <c r="M15" s="1">
        <v>1419.4800000000228</v>
      </c>
      <c r="N15" s="1">
        <v>1420.7200000000278</v>
      </c>
      <c r="O15" s="1">
        <v>1531.040000000042</v>
      </c>
      <c r="P15" s="1">
        <v>1602.6600000000417</v>
      </c>
      <c r="Q15" s="1">
        <v>1612.7800000000393</v>
      </c>
      <c r="R15" s="1">
        <v>1717.5400000000454</v>
      </c>
    </row>
    <row r="16" spans="1:27" x14ac:dyDescent="0.3">
      <c r="A16" s="7" t="s">
        <v>12</v>
      </c>
      <c r="B16" s="1">
        <v>15477.723309364063</v>
      </c>
      <c r="C16" s="1">
        <v>15063.042190548696</v>
      </c>
      <c r="D16" s="1">
        <v>14315.480220740155</v>
      </c>
      <c r="E16" s="1">
        <v>15808.69646062372</v>
      </c>
      <c r="F16" s="1">
        <v>17448.755237148311</v>
      </c>
      <c r="G16" s="1">
        <v>21107.368471184363</v>
      </c>
      <c r="H16" s="1">
        <v>14124.567298138143</v>
      </c>
      <c r="I16" s="1">
        <v>19571.507849341946</v>
      </c>
      <c r="J16" s="1">
        <v>33053.615063549929</v>
      </c>
      <c r="K16" s="1">
        <v>33849.590458150211</v>
      </c>
      <c r="L16" s="1">
        <v>20364.919168988483</v>
      </c>
      <c r="M16" s="1">
        <v>15257.617178320941</v>
      </c>
      <c r="N16" s="1">
        <v>10425.166987710603</v>
      </c>
      <c r="O16" s="1">
        <v>18919.479646515145</v>
      </c>
      <c r="P16" s="1">
        <v>13317.554810821657</v>
      </c>
      <c r="Q16" s="1">
        <v>23868.91345156134</v>
      </c>
      <c r="R16" s="1">
        <v>23525.263932601232</v>
      </c>
    </row>
    <row r="17" spans="1:18" x14ac:dyDescent="0.3">
      <c r="A17" s="7" t="s">
        <v>13</v>
      </c>
      <c r="B17" s="1">
        <v>486.4499999999984</v>
      </c>
      <c r="C17" s="1">
        <v>949.21000000001413</v>
      </c>
      <c r="D17" s="1">
        <v>1305.8940000000246</v>
      </c>
      <c r="E17" s="1">
        <v>1019.5900000000095</v>
      </c>
      <c r="F17" s="1">
        <v>1910.2880000000316</v>
      </c>
      <c r="G17" s="1">
        <v>2170.602000000049</v>
      </c>
      <c r="H17" s="1">
        <v>800.72200000000134</v>
      </c>
      <c r="I17" s="1">
        <v>597.07999999999834</v>
      </c>
      <c r="J17" s="1">
        <v>885.91400000000408</v>
      </c>
      <c r="K17" s="1">
        <v>1301.3860000000177</v>
      </c>
      <c r="L17" s="1">
        <v>1208.0060000000224</v>
      </c>
      <c r="M17" s="1">
        <v>607.42999999999745</v>
      </c>
      <c r="N17" s="1">
        <v>1051.1920000000141</v>
      </c>
      <c r="O17" s="1">
        <v>1207.4080000000131</v>
      </c>
      <c r="P17" s="1">
        <v>1064.5320000000099</v>
      </c>
      <c r="Q17" s="1">
        <v>1248.0720000000194</v>
      </c>
      <c r="R17" s="1">
        <v>1349.0420000000224</v>
      </c>
    </row>
    <row r="18" spans="1:18" x14ac:dyDescent="0.3">
      <c r="A18" s="7" t="s">
        <v>14</v>
      </c>
      <c r="B18" s="1">
        <v>2603.4350031956619</v>
      </c>
      <c r="C18" s="1">
        <v>2742.7666550372137</v>
      </c>
      <c r="D18" s="1">
        <v>3484.7558955695777</v>
      </c>
      <c r="E18" s="1">
        <v>2706.8653596337872</v>
      </c>
      <c r="F18" s="1">
        <v>3099.2391540580402</v>
      </c>
      <c r="G18" s="1">
        <v>4702.3174275060937</v>
      </c>
      <c r="H18" s="1">
        <v>3683.7408486059239</v>
      </c>
      <c r="I18" s="1">
        <v>4735.1052521402244</v>
      </c>
      <c r="J18" s="1">
        <v>5916.0739083638118</v>
      </c>
      <c r="K18" s="1">
        <v>5767.9728684663669</v>
      </c>
      <c r="L18" s="1">
        <v>5607.5886516525334</v>
      </c>
      <c r="M18" s="1">
        <v>3632.5474260086635</v>
      </c>
      <c r="N18" s="1">
        <v>3596.8051270467004</v>
      </c>
      <c r="O18" s="1">
        <v>3808.8919056551745</v>
      </c>
      <c r="P18" s="1">
        <v>3742.5509461263741</v>
      </c>
      <c r="Q18" s="1">
        <v>3543.0986171846412</v>
      </c>
      <c r="R18" s="1">
        <v>4638.6440769093006</v>
      </c>
    </row>
    <row r="19" spans="1:18" x14ac:dyDescent="0.3">
      <c r="A19" s="7" t="s">
        <v>15</v>
      </c>
      <c r="B19" s="1">
        <v>21954.178676152424</v>
      </c>
      <c r="C19" s="1">
        <v>8900.7349645586783</v>
      </c>
      <c r="D19" s="1">
        <v>17219.513697470597</v>
      </c>
      <c r="E19" s="1">
        <v>18091.660398334374</v>
      </c>
      <c r="F19" s="1">
        <v>14871.839551186296</v>
      </c>
      <c r="G19" s="1">
        <v>15693.535715278749</v>
      </c>
      <c r="H19" s="1">
        <v>10290.462383338712</v>
      </c>
      <c r="I19" s="1">
        <v>11853.10459227428</v>
      </c>
      <c r="J19" s="1">
        <v>15281.619177531988</v>
      </c>
      <c r="K19" s="1">
        <v>19795.531697154274</v>
      </c>
      <c r="L19" s="1">
        <v>25499.99886660877</v>
      </c>
      <c r="M19" s="1">
        <v>15971.573807331542</v>
      </c>
      <c r="N19" s="1">
        <v>19042.247101875921</v>
      </c>
      <c r="O19" s="1">
        <v>13177.132384476761</v>
      </c>
      <c r="P19" s="1">
        <v>14005.144988763068</v>
      </c>
      <c r="Q19" s="1">
        <v>22036.632041601712</v>
      </c>
      <c r="R19" s="1">
        <v>13046.321850479704</v>
      </c>
    </row>
    <row r="20" spans="1:18" x14ac:dyDescent="0.3">
      <c r="A20" s="7" t="s">
        <v>16</v>
      </c>
      <c r="B20" s="1">
        <v>9651.6395222420178</v>
      </c>
      <c r="C20" s="1">
        <v>10581.331226886159</v>
      </c>
      <c r="D20" s="1">
        <v>13425.753152492431</v>
      </c>
      <c r="E20" s="1">
        <v>14043.541962995967</v>
      </c>
      <c r="F20" s="1">
        <v>15910.665551955593</v>
      </c>
      <c r="G20" s="1">
        <v>18140.897986350818</v>
      </c>
      <c r="H20" s="1">
        <v>15399.127677232482</v>
      </c>
      <c r="I20" s="1">
        <v>18123.072764749926</v>
      </c>
      <c r="J20" s="1">
        <v>19597.254037492916</v>
      </c>
      <c r="K20" s="1">
        <v>20283.657679245076</v>
      </c>
      <c r="L20" s="1">
        <v>16461.733859064203</v>
      </c>
      <c r="M20" s="1">
        <v>14129.020361010133</v>
      </c>
      <c r="N20" s="1">
        <v>19941.358154598485</v>
      </c>
      <c r="O20" s="1">
        <v>19595.770271910867</v>
      </c>
      <c r="P20" s="1">
        <v>19616.266173917491</v>
      </c>
      <c r="Q20" s="1">
        <v>20267.459613933384</v>
      </c>
      <c r="R20" s="1">
        <v>26538.176779316593</v>
      </c>
    </row>
    <row r="21" spans="1:18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67C5-F7D1-4003-BA66-5D3C22CB2818}">
  <dimension ref="A1:Q20"/>
  <sheetViews>
    <sheetView workbookViewId="0">
      <selection activeCell="H27" sqref="H27"/>
    </sheetView>
  </sheetViews>
  <sheetFormatPr defaultRowHeight="14.4" x14ac:dyDescent="0.3"/>
  <cols>
    <col min="1" max="1" width="14.77734375" bestFit="1" customWidth="1"/>
  </cols>
  <sheetData>
    <row r="1" spans="1:17" ht="27" customHeight="1" x14ac:dyDescent="0.3">
      <c r="A1" s="8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3">
      <c r="A3" s="5" t="s">
        <v>17</v>
      </c>
      <c r="B3" s="6">
        <v>45292</v>
      </c>
      <c r="C3" s="6">
        <v>45323</v>
      </c>
      <c r="D3" s="6">
        <v>45352</v>
      </c>
      <c r="E3" s="6">
        <v>45383</v>
      </c>
      <c r="F3" s="6">
        <v>45413</v>
      </c>
      <c r="G3" s="6">
        <v>45444</v>
      </c>
      <c r="H3" s="6">
        <v>45474</v>
      </c>
      <c r="I3" s="6">
        <v>45505</v>
      </c>
      <c r="J3" s="6">
        <v>45536</v>
      </c>
      <c r="K3" s="6">
        <v>45566</v>
      </c>
      <c r="L3" s="6">
        <v>45597</v>
      </c>
      <c r="M3" s="6">
        <v>45627</v>
      </c>
      <c r="N3" s="6">
        <v>45658</v>
      </c>
      <c r="O3" s="6">
        <v>45689</v>
      </c>
      <c r="P3" s="6">
        <v>45717</v>
      </c>
      <c r="Q3" s="6">
        <v>45748</v>
      </c>
    </row>
    <row r="4" spans="1:17" x14ac:dyDescent="0.3">
      <c r="A4" s="7" t="s">
        <v>0</v>
      </c>
      <c r="B4" s="1">
        <v>8166.560563947949</v>
      </c>
      <c r="C4" s="1">
        <v>8725.2385117549693</v>
      </c>
      <c r="D4" s="1">
        <v>10446.126385647109</v>
      </c>
      <c r="E4" s="1">
        <v>10869.96918772621</v>
      </c>
      <c r="F4" s="1">
        <v>12002.327128520052</v>
      </c>
      <c r="G4" s="1">
        <v>12896.965432947514</v>
      </c>
      <c r="H4" s="1">
        <v>10533.990714017695</v>
      </c>
      <c r="I4" s="1">
        <v>12450.836137606733</v>
      </c>
      <c r="J4" s="1">
        <v>10651.938715005263</v>
      </c>
      <c r="K4" s="1">
        <v>11447.100254750194</v>
      </c>
      <c r="L4" s="1">
        <v>10918.657951968426</v>
      </c>
      <c r="M4" s="1">
        <v>5620.7860389880188</v>
      </c>
      <c r="N4" s="1">
        <v>5290.2999478712345</v>
      </c>
      <c r="O4" s="1">
        <v>6687.4447523596718</v>
      </c>
      <c r="P4" s="1">
        <v>7200.2732504487394</v>
      </c>
      <c r="Q4" s="1">
        <v>7965.4409853863162</v>
      </c>
    </row>
    <row r="5" spans="1:17" x14ac:dyDescent="0.3">
      <c r="A5" s="7" t="s">
        <v>1</v>
      </c>
      <c r="B5" s="1">
        <v>3070.9790516904504</v>
      </c>
      <c r="C5" s="1">
        <v>3117.2333455376447</v>
      </c>
      <c r="D5" s="1">
        <v>3690.6212954565567</v>
      </c>
      <c r="E5" s="1">
        <v>4349.3071428843559</v>
      </c>
      <c r="F5" s="1">
        <v>4474.0712726112442</v>
      </c>
      <c r="G5" s="1">
        <v>3934.2241954174451</v>
      </c>
      <c r="H5" s="1">
        <v>3149.1330147223171</v>
      </c>
      <c r="I5" s="1">
        <v>3573.9738713645729</v>
      </c>
      <c r="J5" s="1">
        <v>3894.7694257386911</v>
      </c>
      <c r="K5" s="1">
        <v>4502.3488004100263</v>
      </c>
      <c r="L5" s="1">
        <v>4799.2023743580903</v>
      </c>
      <c r="M5" s="1">
        <v>2082.5934338388847</v>
      </c>
      <c r="N5" s="1">
        <v>3010.4150000000004</v>
      </c>
      <c r="O5" s="1">
        <v>2308.0900000000006</v>
      </c>
      <c r="P5" s="1">
        <v>3289.8399999999988</v>
      </c>
      <c r="Q5" s="1">
        <v>2940.3299999999995</v>
      </c>
    </row>
    <row r="6" spans="1:17" x14ac:dyDescent="0.3">
      <c r="A6" s="7" t="s">
        <v>2</v>
      </c>
      <c r="B6" s="1">
        <v>2353.0576794863678</v>
      </c>
      <c r="C6" s="1">
        <v>2473.0881545816064</v>
      </c>
      <c r="D6" s="1">
        <v>3486.7491130931539</v>
      </c>
      <c r="E6" s="1">
        <v>3458.6607942397482</v>
      </c>
      <c r="F6" s="1">
        <v>3004.7239974953923</v>
      </c>
      <c r="G6" s="1">
        <v>3500.8324850164959</v>
      </c>
      <c r="H6" s="1">
        <v>2818.4235321881338</v>
      </c>
      <c r="I6" s="1">
        <v>3212.0356699495292</v>
      </c>
      <c r="J6" s="1">
        <v>3750.9257218992975</v>
      </c>
      <c r="K6" s="1">
        <v>3692.7752022007789</v>
      </c>
      <c r="L6" s="1">
        <v>3599.0533907931513</v>
      </c>
      <c r="M6" s="1">
        <v>1688.7373890599283</v>
      </c>
      <c r="N6" s="1">
        <v>2166.7711871094798</v>
      </c>
      <c r="O6" s="1">
        <v>2450.6941765472043</v>
      </c>
      <c r="P6" s="1">
        <v>2626.8320550640456</v>
      </c>
      <c r="Q6" s="1">
        <v>3030.6417488924467</v>
      </c>
    </row>
    <row r="7" spans="1:17" x14ac:dyDescent="0.3">
      <c r="A7" s="7" t="s">
        <v>3</v>
      </c>
      <c r="B7" s="1">
        <v>6729.0741506618142</v>
      </c>
      <c r="C7" s="1">
        <v>7014.7875223031151</v>
      </c>
      <c r="D7" s="1">
        <v>8548.0774932838613</v>
      </c>
      <c r="E7" s="1">
        <v>7714.2363290870571</v>
      </c>
      <c r="F7" s="1">
        <v>8310.3193949615834</v>
      </c>
      <c r="G7" s="1">
        <v>11093.378919791809</v>
      </c>
      <c r="H7" s="1">
        <v>7971.022942043377</v>
      </c>
      <c r="I7" s="1">
        <v>10198.863813835269</v>
      </c>
      <c r="J7" s="1">
        <v>10104.865323563319</v>
      </c>
      <c r="K7" s="1">
        <v>11110.015347476972</v>
      </c>
      <c r="L7" s="1">
        <v>10119.152902390766</v>
      </c>
      <c r="M7" s="1">
        <v>4443.3554000110662</v>
      </c>
      <c r="N7" s="1">
        <v>8304.6873701718414</v>
      </c>
      <c r="O7" s="1">
        <v>8934.8746849049476</v>
      </c>
      <c r="P7" s="1">
        <v>9935.8729566347192</v>
      </c>
      <c r="Q7" s="1">
        <v>11460.655548829931</v>
      </c>
    </row>
    <row r="8" spans="1:17" x14ac:dyDescent="0.3">
      <c r="A8" s="7" t="s">
        <v>4</v>
      </c>
      <c r="B8" s="1">
        <v>10003.790073057109</v>
      </c>
      <c r="C8" s="1">
        <v>10411.010149096343</v>
      </c>
      <c r="D8" s="1">
        <v>12763.065971014488</v>
      </c>
      <c r="E8" s="1">
        <v>13815.960738132617</v>
      </c>
      <c r="F8" s="1">
        <v>14405.300480187545</v>
      </c>
      <c r="G8" s="1">
        <v>15026.863470126696</v>
      </c>
      <c r="H8" s="1">
        <v>11675.022030185208</v>
      </c>
      <c r="I8" s="1">
        <v>15304.359807378612</v>
      </c>
      <c r="J8" s="1">
        <v>15949.349618896662</v>
      </c>
      <c r="K8" s="1">
        <v>17844.835909195168</v>
      </c>
      <c r="L8" s="1">
        <v>16726.900394567372</v>
      </c>
      <c r="M8" s="1">
        <v>7500.8682406680455</v>
      </c>
      <c r="N8" s="1">
        <v>11530.291031667964</v>
      </c>
      <c r="O8" s="1">
        <v>12446.226561258296</v>
      </c>
      <c r="P8" s="1">
        <v>13490.433753968509</v>
      </c>
      <c r="Q8" s="1">
        <v>17132.113339516131</v>
      </c>
    </row>
    <row r="9" spans="1:17" x14ac:dyDescent="0.3">
      <c r="A9" s="7" t="s">
        <v>5</v>
      </c>
      <c r="B9" s="1">
        <v>16501.593231231356</v>
      </c>
      <c r="C9" s="1">
        <v>17371.502253214854</v>
      </c>
      <c r="D9" s="1">
        <v>20451.159692030978</v>
      </c>
      <c r="E9" s="1">
        <v>22179.438446706608</v>
      </c>
      <c r="F9" s="1">
        <v>23281.649144320974</v>
      </c>
      <c r="G9" s="1">
        <v>24759.461608292953</v>
      </c>
      <c r="H9" s="1">
        <v>18274.952995722073</v>
      </c>
      <c r="I9" s="1">
        <v>21959.169852409133</v>
      </c>
      <c r="J9" s="1">
        <v>26597.766893358232</v>
      </c>
      <c r="K9" s="1">
        <v>27204.987218568829</v>
      </c>
      <c r="L9" s="1">
        <v>24331.645642338772</v>
      </c>
      <c r="M9" s="1">
        <v>10763.041619221673</v>
      </c>
      <c r="N9" s="1">
        <v>9829.1245574410441</v>
      </c>
      <c r="O9" s="1">
        <v>11813.386356593732</v>
      </c>
      <c r="P9" s="1">
        <v>10965.631950580115</v>
      </c>
      <c r="Q9" s="1">
        <v>16372.376167466824</v>
      </c>
    </row>
    <row r="10" spans="1:17" x14ac:dyDescent="0.3">
      <c r="A10" s="7" t="s">
        <v>6</v>
      </c>
      <c r="B10" s="1">
        <v>16790.733326393762</v>
      </c>
      <c r="C10" s="1">
        <v>17562.371268095012</v>
      </c>
      <c r="D10" s="1">
        <v>20867.730694690159</v>
      </c>
      <c r="E10" s="1">
        <v>20447.829099047391</v>
      </c>
      <c r="F10" s="1">
        <v>21186.165449120868</v>
      </c>
      <c r="G10" s="1">
        <v>25520.953503876372</v>
      </c>
      <c r="H10" s="1">
        <v>19301.181464051158</v>
      </c>
      <c r="I10" s="1">
        <v>22737.490325006431</v>
      </c>
      <c r="J10" s="1">
        <v>22455.21467877724</v>
      </c>
      <c r="K10" s="1">
        <v>25417.278138455404</v>
      </c>
      <c r="L10" s="1">
        <v>24227.029493031008</v>
      </c>
      <c r="M10" s="1">
        <v>10965.230843576792</v>
      </c>
      <c r="N10" s="1">
        <v>14527.368206215671</v>
      </c>
      <c r="O10" s="1">
        <v>13603.32999898802</v>
      </c>
      <c r="P10" s="1">
        <v>16624.390500936061</v>
      </c>
      <c r="Q10" s="1">
        <v>17666.815151924777</v>
      </c>
    </row>
    <row r="11" spans="1:17" x14ac:dyDescent="0.3">
      <c r="A11" s="7" t="s">
        <v>7</v>
      </c>
      <c r="B11" s="1">
        <v>8175.7120543351366</v>
      </c>
      <c r="C11" s="1">
        <v>8718.5300263065019</v>
      </c>
      <c r="D11" s="1">
        <v>10108.096681150426</v>
      </c>
      <c r="E11" s="1">
        <v>10427.913283726159</v>
      </c>
      <c r="F11" s="1">
        <v>11159.132129062316</v>
      </c>
      <c r="G11" s="1">
        <v>11579.089152991095</v>
      </c>
      <c r="H11" s="1">
        <v>8129.367829739118</v>
      </c>
      <c r="I11" s="1">
        <v>9994.0644625230725</v>
      </c>
      <c r="J11" s="1">
        <v>10296.698502304469</v>
      </c>
      <c r="K11" s="1">
        <v>11507.499214500269</v>
      </c>
      <c r="L11" s="1">
        <v>11054.532287266198</v>
      </c>
      <c r="M11" s="1">
        <v>4776.4241818483988</v>
      </c>
      <c r="N11" s="1">
        <v>7594.8362920367636</v>
      </c>
      <c r="O11" s="1">
        <v>9797.8355285959769</v>
      </c>
      <c r="P11" s="1">
        <v>9719.7624720121185</v>
      </c>
      <c r="Q11" s="1">
        <v>9356.8081977149814</v>
      </c>
    </row>
    <row r="12" spans="1:17" x14ac:dyDescent="0.3">
      <c r="A12" s="7" t="s">
        <v>8</v>
      </c>
      <c r="B12" s="1">
        <v>4445.9631995623095</v>
      </c>
      <c r="C12" s="1">
        <v>4892.825386810614</v>
      </c>
      <c r="D12" s="1">
        <v>5765.2280293759577</v>
      </c>
      <c r="E12" s="1">
        <v>5995.5683072381053</v>
      </c>
      <c r="F12" s="1">
        <v>6432.0152151887505</v>
      </c>
      <c r="G12" s="1">
        <v>6993.3762348783794</v>
      </c>
      <c r="H12" s="1">
        <v>5903.5597520408865</v>
      </c>
      <c r="I12" s="1">
        <v>6967.3008295509844</v>
      </c>
      <c r="J12" s="1">
        <v>7383.8976125685776</v>
      </c>
      <c r="K12" s="1">
        <v>8767.5026094804634</v>
      </c>
      <c r="L12" s="1">
        <v>8721.0576938911254</v>
      </c>
      <c r="M12" s="1">
        <v>3807.7355493291484</v>
      </c>
      <c r="N12" s="1">
        <v>6115.0128716854588</v>
      </c>
      <c r="O12" s="1">
        <v>6424.2212633471818</v>
      </c>
      <c r="P12" s="1">
        <v>6729.8521352566831</v>
      </c>
      <c r="Q12" s="1">
        <v>7280.8338441780179</v>
      </c>
    </row>
    <row r="13" spans="1:17" x14ac:dyDescent="0.3">
      <c r="A13" s="7" t="s">
        <v>9</v>
      </c>
      <c r="B13" s="1">
        <v>62491.117390389714</v>
      </c>
      <c r="C13" s="1">
        <v>64947.714870229</v>
      </c>
      <c r="D13" s="1">
        <v>78074.944723614288</v>
      </c>
      <c r="E13" s="1">
        <v>80672.135974234989</v>
      </c>
      <c r="F13" s="1">
        <v>90860.114204759462</v>
      </c>
      <c r="G13" s="1">
        <v>94167.867850223032</v>
      </c>
      <c r="H13" s="1">
        <v>70637.621764695563</v>
      </c>
      <c r="I13" s="1">
        <v>87565.86151883495</v>
      </c>
      <c r="J13" s="1">
        <v>89317.015218346278</v>
      </c>
      <c r="K13" s="1">
        <v>100986.25556620061</v>
      </c>
      <c r="L13" s="1">
        <v>90592.984543889615</v>
      </c>
      <c r="M13" s="1">
        <v>42097.525187570318</v>
      </c>
      <c r="N13" s="1">
        <v>70967.033353081235</v>
      </c>
      <c r="O13" s="1">
        <v>72216.471050782449</v>
      </c>
      <c r="P13" s="1">
        <v>85407.705244972152</v>
      </c>
      <c r="Q13" s="1">
        <v>90813.9767922264</v>
      </c>
    </row>
    <row r="14" spans="1:17" x14ac:dyDescent="0.3">
      <c r="A14" s="7" t="s">
        <v>10</v>
      </c>
      <c r="B14" s="1">
        <v>466.97249565304827</v>
      </c>
      <c r="C14" s="1">
        <v>882.07895311218124</v>
      </c>
      <c r="D14" s="1">
        <v>1539.0994794753278</v>
      </c>
      <c r="E14" s="1">
        <v>1763.3482349810577</v>
      </c>
      <c r="F14" s="1">
        <v>1406.7074995910446</v>
      </c>
      <c r="G14" s="1">
        <v>865.8976705532491</v>
      </c>
      <c r="H14" s="1">
        <v>809.80906495771114</v>
      </c>
      <c r="I14" s="1">
        <v>651.58715942345111</v>
      </c>
      <c r="J14" s="1">
        <v>512.51032815932876</v>
      </c>
      <c r="K14" s="1">
        <v>483.81898698206231</v>
      </c>
      <c r="L14" s="1">
        <v>358.72822582648212</v>
      </c>
      <c r="M14" s="1">
        <v>115.50498346765868</v>
      </c>
      <c r="N14" s="1">
        <v>289.08336108637172</v>
      </c>
      <c r="O14" s="1">
        <v>656.4424868620614</v>
      </c>
      <c r="P14" s="1">
        <v>1134.8588540815015</v>
      </c>
      <c r="Q14" s="1">
        <v>1697.1805241384909</v>
      </c>
    </row>
    <row r="15" spans="1:17" x14ac:dyDescent="0.3">
      <c r="A15" s="7" t="s">
        <v>11</v>
      </c>
      <c r="B15" s="1">
        <v>881.03704274801544</v>
      </c>
      <c r="C15" s="1">
        <v>946.58605176941592</v>
      </c>
      <c r="D15" s="1">
        <v>1150.6453004640205</v>
      </c>
      <c r="E15" s="1">
        <v>1070.6131535992629</v>
      </c>
      <c r="F15" s="1">
        <v>1156.5387873856669</v>
      </c>
      <c r="G15" s="1">
        <v>1370.078631506585</v>
      </c>
      <c r="H15" s="1">
        <v>1285.2551119105249</v>
      </c>
      <c r="I15" s="1">
        <v>1441.3180939255831</v>
      </c>
      <c r="J15" s="1">
        <v>1449.8735571914187</v>
      </c>
      <c r="K15" s="1">
        <v>1581.6443616469203</v>
      </c>
      <c r="L15" s="1">
        <v>1457.6300684555986</v>
      </c>
      <c r="M15" s="1">
        <v>696.15792212819724</v>
      </c>
      <c r="N15" s="1">
        <v>1015.6706758991249</v>
      </c>
      <c r="O15" s="1">
        <v>951.12732340302534</v>
      </c>
      <c r="P15" s="1">
        <v>1378.0776485586291</v>
      </c>
      <c r="Q15" s="1">
        <v>1257.2335980442301</v>
      </c>
    </row>
    <row r="16" spans="1:17" x14ac:dyDescent="0.3">
      <c r="A16" s="7" t="s">
        <v>12</v>
      </c>
      <c r="B16" s="1">
        <v>17729.805933992371</v>
      </c>
      <c r="C16" s="1">
        <v>17653.034273169906</v>
      </c>
      <c r="D16" s="1">
        <v>18303.893884223686</v>
      </c>
      <c r="E16" s="1">
        <v>16697.361165796174</v>
      </c>
      <c r="F16" s="1">
        <v>17654.87993343722</v>
      </c>
      <c r="G16" s="1">
        <v>23709.426820911009</v>
      </c>
      <c r="H16" s="1">
        <v>17632.205164553397</v>
      </c>
      <c r="I16" s="1">
        <v>23135.342134805356</v>
      </c>
      <c r="J16" s="1">
        <v>23751.092202143238</v>
      </c>
      <c r="K16" s="1">
        <v>24283.471799160427</v>
      </c>
      <c r="L16" s="1">
        <v>23915.762852727239</v>
      </c>
      <c r="M16" s="1">
        <v>10628.206775379724</v>
      </c>
      <c r="N16" s="1">
        <v>13137.378460766806</v>
      </c>
      <c r="O16" s="1">
        <v>9271.5018352811312</v>
      </c>
      <c r="P16" s="1">
        <v>12466.518649709518</v>
      </c>
      <c r="Q16" s="1">
        <v>12613.196808533499</v>
      </c>
    </row>
    <row r="17" spans="1:17" x14ac:dyDescent="0.3">
      <c r="A17" s="7" t="s">
        <v>13</v>
      </c>
      <c r="B17" s="1">
        <v>838.01740290040607</v>
      </c>
      <c r="C17" s="1">
        <v>890.99669435828946</v>
      </c>
      <c r="D17" s="1">
        <v>1106.3120320945907</v>
      </c>
      <c r="E17" s="1">
        <v>1082.7747232386382</v>
      </c>
      <c r="F17" s="1">
        <v>1128.4615813805351</v>
      </c>
      <c r="G17" s="1">
        <v>1297.76357979154</v>
      </c>
      <c r="H17" s="1">
        <v>703.23653848409356</v>
      </c>
      <c r="I17" s="1">
        <v>839.36471098616823</v>
      </c>
      <c r="J17" s="1">
        <v>840.94821306841618</v>
      </c>
      <c r="K17" s="1">
        <v>803.21258951789582</v>
      </c>
      <c r="L17" s="1">
        <v>682.04858146449271</v>
      </c>
      <c r="M17" s="1">
        <v>322.61644527266202</v>
      </c>
      <c r="N17" s="1">
        <v>947.57281155233602</v>
      </c>
      <c r="O17" s="1">
        <v>894.96443347262448</v>
      </c>
      <c r="P17" s="1">
        <v>1334.6198559595948</v>
      </c>
      <c r="Q17" s="1">
        <v>1148.6775946809914</v>
      </c>
    </row>
    <row r="18" spans="1:17" x14ac:dyDescent="0.3">
      <c r="A18" s="7" t="s">
        <v>14</v>
      </c>
      <c r="B18" s="1">
        <v>2838.835034582964</v>
      </c>
      <c r="C18" s="1">
        <v>2909.3202329497135</v>
      </c>
      <c r="D18" s="1">
        <v>3456.2390355892344</v>
      </c>
      <c r="E18" s="1">
        <v>3366.573373845587</v>
      </c>
      <c r="F18" s="1">
        <v>3587.2129292363088</v>
      </c>
      <c r="G18" s="1">
        <v>4154.9598879825062</v>
      </c>
      <c r="H18" s="1">
        <v>3009.3065853134267</v>
      </c>
      <c r="I18" s="1">
        <v>3926.7345387459204</v>
      </c>
      <c r="J18" s="1">
        <v>3790.9775641634983</v>
      </c>
      <c r="K18" s="1">
        <v>3861.1206777352018</v>
      </c>
      <c r="L18" s="1">
        <v>3831.8987026497484</v>
      </c>
      <c r="M18" s="1">
        <v>1861.362222396305</v>
      </c>
      <c r="N18" s="1">
        <v>3790.0503963927667</v>
      </c>
      <c r="O18" s="1">
        <v>3558.502699529095</v>
      </c>
      <c r="P18" s="1">
        <v>3843.8047751154636</v>
      </c>
      <c r="Q18" s="1">
        <v>4136.9940594566915</v>
      </c>
    </row>
    <row r="19" spans="1:17" x14ac:dyDescent="0.3">
      <c r="A19" s="7" t="s">
        <v>15</v>
      </c>
      <c r="B19" s="1">
        <v>11324.08057395952</v>
      </c>
      <c r="C19" s="1">
        <v>12648.288269201359</v>
      </c>
      <c r="D19" s="1">
        <v>14465.206329072309</v>
      </c>
      <c r="E19" s="1">
        <v>14210.796581331437</v>
      </c>
      <c r="F19" s="1">
        <v>16120.559883130427</v>
      </c>
      <c r="G19" s="1">
        <v>16860.370741302078</v>
      </c>
      <c r="H19" s="1">
        <v>13611.478043701423</v>
      </c>
      <c r="I19" s="1">
        <v>17317.978435874811</v>
      </c>
      <c r="J19" s="1">
        <v>16583.401477849904</v>
      </c>
      <c r="K19" s="1">
        <v>19117.984690579757</v>
      </c>
      <c r="L19" s="1">
        <v>16453.218233867894</v>
      </c>
      <c r="M19" s="1">
        <v>7163.7368600166792</v>
      </c>
      <c r="N19" s="1">
        <v>8277.8019086357854</v>
      </c>
      <c r="O19" s="1">
        <v>11199.032224483302</v>
      </c>
      <c r="P19" s="1">
        <v>11365.226642542435</v>
      </c>
      <c r="Q19" s="1">
        <v>12516.4719140865</v>
      </c>
    </row>
    <row r="20" spans="1:17" x14ac:dyDescent="0.3">
      <c r="A20" s="7" t="s">
        <v>16</v>
      </c>
      <c r="B20" s="1">
        <v>10557.960772386696</v>
      </c>
      <c r="C20" s="1">
        <v>11169.6537970707</v>
      </c>
      <c r="D20" s="1">
        <v>13072.122956795311</v>
      </c>
      <c r="E20" s="1">
        <v>13680.32139824027</v>
      </c>
      <c r="F20" s="1">
        <v>15391.138304671325</v>
      </c>
      <c r="G20" s="1">
        <v>16579.114149997142</v>
      </c>
      <c r="H20" s="1">
        <v>12413.29593824704</v>
      </c>
      <c r="I20" s="1">
        <v>14765.51904932353</v>
      </c>
      <c r="J20" s="1">
        <v>15042.575355217166</v>
      </c>
      <c r="K20" s="1">
        <v>17091.244035614989</v>
      </c>
      <c r="L20" s="1">
        <v>15286.349802209688</v>
      </c>
      <c r="M20" s="1">
        <v>6967.0706149151501</v>
      </c>
      <c r="N20" s="1">
        <v>12778.883780444681</v>
      </c>
      <c r="O20" s="1">
        <v>14929.9818409989</v>
      </c>
      <c r="P20" s="1">
        <v>15874.429210890097</v>
      </c>
      <c r="Q20" s="1">
        <v>16865.84361706183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BF3E-A8E5-4CE4-A1E9-F358CE5D919A}">
  <dimension ref="A1:R21"/>
  <sheetViews>
    <sheetView workbookViewId="0">
      <selection activeCell="R4" sqref="R4"/>
    </sheetView>
  </sheetViews>
  <sheetFormatPr defaultRowHeight="14.4" x14ac:dyDescent="0.3"/>
  <cols>
    <col min="1" max="1" width="14.77734375" bestFit="1" customWidth="1"/>
  </cols>
  <sheetData>
    <row r="1" spans="1:18" ht="27" customHeight="1" x14ac:dyDescent="0.3">
      <c r="A1" s="11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8" x14ac:dyDescent="0.3">
      <c r="A3" s="5" t="s">
        <v>17</v>
      </c>
      <c r="B3" s="6">
        <v>45292</v>
      </c>
      <c r="C3" s="6">
        <v>45323</v>
      </c>
      <c r="D3" s="6">
        <v>45352</v>
      </c>
      <c r="E3" s="6">
        <v>45383</v>
      </c>
      <c r="F3" s="6">
        <v>45413</v>
      </c>
      <c r="G3" s="6">
        <v>45444</v>
      </c>
      <c r="H3" s="6">
        <v>45474</v>
      </c>
      <c r="I3" s="6">
        <v>45505</v>
      </c>
      <c r="J3" s="6">
        <v>45536</v>
      </c>
      <c r="K3" s="6">
        <v>45566</v>
      </c>
      <c r="L3" s="6">
        <v>45597</v>
      </c>
      <c r="M3" s="6">
        <v>45627</v>
      </c>
      <c r="N3" s="6">
        <v>45658</v>
      </c>
      <c r="O3" s="6">
        <v>45689</v>
      </c>
      <c r="P3" s="6">
        <v>45717</v>
      </c>
      <c r="Q3" s="6">
        <v>45748</v>
      </c>
      <c r="R3" s="6">
        <v>45778</v>
      </c>
    </row>
    <row r="4" spans="1:18" x14ac:dyDescent="0.3">
      <c r="A4" s="7" t="s">
        <v>0</v>
      </c>
      <c r="B4" s="1">
        <v>9559.5</v>
      </c>
      <c r="C4" s="1">
        <v>11891.969999999998</v>
      </c>
      <c r="D4" s="1">
        <v>12689.350000000004</v>
      </c>
      <c r="E4" s="1">
        <v>9892.8999999999978</v>
      </c>
      <c r="F4" s="1">
        <v>8663.2500000000055</v>
      </c>
      <c r="G4" s="1">
        <v>6403.6500000000005</v>
      </c>
      <c r="H4" s="1">
        <v>14778.050000000005</v>
      </c>
      <c r="I4" s="1">
        <v>8856.65</v>
      </c>
      <c r="J4" s="1">
        <v>9745.4499999999935</v>
      </c>
      <c r="K4" s="1">
        <v>7474.3</v>
      </c>
      <c r="L4" s="1">
        <v>12968.749999999996</v>
      </c>
      <c r="M4" s="1">
        <v>11228.409999999996</v>
      </c>
      <c r="N4" s="1">
        <v>4815.3499999999995</v>
      </c>
      <c r="O4" s="1">
        <v>10266.730000000001</v>
      </c>
      <c r="P4" s="1">
        <v>6942.01</v>
      </c>
      <c r="Q4" s="1">
        <v>8724.100000000004</v>
      </c>
      <c r="R4" s="1">
        <v>14045.749999999998</v>
      </c>
    </row>
    <row r="5" spans="1:18" x14ac:dyDescent="0.3">
      <c r="A5" s="7" t="s">
        <v>1</v>
      </c>
      <c r="B5" s="1">
        <v>3632.8050000000003</v>
      </c>
      <c r="C5" s="1">
        <v>5962.6149999999998</v>
      </c>
      <c r="D5" s="1">
        <v>3193.3500000000004</v>
      </c>
      <c r="E5" s="1">
        <v>6036.5000000000018</v>
      </c>
      <c r="F5" s="1">
        <v>1225.1000000000001</v>
      </c>
      <c r="G5" s="1">
        <v>745.90000000000009</v>
      </c>
      <c r="H5" s="1">
        <v>1522.2</v>
      </c>
      <c r="I5" s="1">
        <v>1909.6000000000004</v>
      </c>
      <c r="J5" s="1">
        <v>4178.5499999999984</v>
      </c>
      <c r="K5" s="1">
        <v>1472.6250000000005</v>
      </c>
      <c r="L5" s="1">
        <v>3121.2000000000007</v>
      </c>
      <c r="M5" s="1">
        <v>3743.2500000000023</v>
      </c>
      <c r="N5" s="1">
        <v>3234.9500000000016</v>
      </c>
      <c r="O5" s="1">
        <v>4561.4800000000014</v>
      </c>
      <c r="P5" s="1">
        <v>2479.0500000000002</v>
      </c>
      <c r="Q5" s="1">
        <v>2496.2999999999993</v>
      </c>
      <c r="R5" s="1">
        <v>2752.65</v>
      </c>
    </row>
    <row r="6" spans="1:18" x14ac:dyDescent="0.3">
      <c r="A6" s="7" t="s">
        <v>2</v>
      </c>
      <c r="B6" s="1">
        <v>2147.8499999999995</v>
      </c>
      <c r="C6" s="1">
        <v>4039.4600000000005</v>
      </c>
      <c r="D6" s="1">
        <v>2321.35</v>
      </c>
      <c r="E6" s="1">
        <v>3133.4000000000024</v>
      </c>
      <c r="F6" s="1">
        <v>2305.8999999999992</v>
      </c>
      <c r="G6" s="1">
        <v>2408.3500000000013</v>
      </c>
      <c r="H6" s="1">
        <v>4465.3500000000004</v>
      </c>
      <c r="I6" s="1">
        <v>2818.1999999999994</v>
      </c>
      <c r="J6" s="1">
        <v>1935.8000000000006</v>
      </c>
      <c r="K6" s="1">
        <v>2480.2999999999988</v>
      </c>
      <c r="L6" s="1">
        <v>3222.5000000000009</v>
      </c>
      <c r="M6" s="1">
        <v>2416.2000000000003</v>
      </c>
      <c r="N6" s="1">
        <v>3139.7002000000002</v>
      </c>
      <c r="O6" s="1">
        <v>2814.4500000000003</v>
      </c>
      <c r="P6" s="1">
        <v>4511.6499999999987</v>
      </c>
      <c r="Q6" s="1">
        <v>2577.69</v>
      </c>
      <c r="R6" s="1">
        <f>2697.85+48.9</f>
        <v>2746.75</v>
      </c>
    </row>
    <row r="7" spans="1:18" x14ac:dyDescent="0.3">
      <c r="A7" s="7" t="s">
        <v>3</v>
      </c>
      <c r="B7" s="1">
        <v>4347.9499999999989</v>
      </c>
      <c r="C7" s="1">
        <v>7869.9350000000049</v>
      </c>
      <c r="D7" s="1">
        <v>10001.200000000001</v>
      </c>
      <c r="E7" s="1">
        <v>9313.8000000000065</v>
      </c>
      <c r="F7" s="1">
        <v>10240.249999999996</v>
      </c>
      <c r="G7" s="1">
        <v>9274.7999999999938</v>
      </c>
      <c r="H7" s="1">
        <v>13513.649999999996</v>
      </c>
      <c r="I7" s="1">
        <v>12387.350000000002</v>
      </c>
      <c r="J7" s="1">
        <v>4798.05</v>
      </c>
      <c r="K7" s="1">
        <v>9851.5000000000018</v>
      </c>
      <c r="L7" s="1">
        <v>9795.8499999999949</v>
      </c>
      <c r="M7" s="1">
        <v>9023.0500000000011</v>
      </c>
      <c r="N7" s="1">
        <v>8664.34</v>
      </c>
      <c r="O7" s="1">
        <v>7418.2999999999975</v>
      </c>
      <c r="P7" s="1">
        <v>12405.80000000001</v>
      </c>
      <c r="Q7" s="1">
        <v>12390.625000000005</v>
      </c>
      <c r="R7" s="1">
        <v>8501.4500000000007</v>
      </c>
    </row>
    <row r="8" spans="1:18" x14ac:dyDescent="0.3">
      <c r="A8" s="7" t="s">
        <v>4</v>
      </c>
      <c r="B8" s="1">
        <v>12253.299999999997</v>
      </c>
      <c r="C8" s="1">
        <v>7317.7999999999993</v>
      </c>
      <c r="D8" s="1">
        <v>10306.349999999993</v>
      </c>
      <c r="E8" s="1">
        <v>19463.754999999986</v>
      </c>
      <c r="F8" s="1">
        <v>19129.250000000029</v>
      </c>
      <c r="G8" s="1">
        <v>12507.9</v>
      </c>
      <c r="H8" s="1">
        <v>11116.05</v>
      </c>
      <c r="I8" s="1">
        <v>20300.299999999992</v>
      </c>
      <c r="J8" s="1">
        <v>22699.250000000004</v>
      </c>
      <c r="K8" s="1">
        <v>24931.100000000031</v>
      </c>
      <c r="L8" s="1">
        <v>24435.950000000008</v>
      </c>
      <c r="M8" s="1">
        <v>21439.159999999996</v>
      </c>
      <c r="N8" s="1">
        <v>14529.820000000009</v>
      </c>
      <c r="O8" s="1">
        <v>10358.850000000002</v>
      </c>
      <c r="P8" s="1">
        <v>20661.204999999998</v>
      </c>
      <c r="Q8" s="1">
        <v>20904.189999999999</v>
      </c>
      <c r="R8" s="1">
        <v>22197.100000000017</v>
      </c>
    </row>
    <row r="9" spans="1:18" x14ac:dyDescent="0.3">
      <c r="A9" s="7" t="s">
        <v>5</v>
      </c>
      <c r="B9" s="1">
        <v>26917.799999999988</v>
      </c>
      <c r="C9" s="1">
        <v>16135.1</v>
      </c>
      <c r="D9" s="1">
        <v>15444.350000000002</v>
      </c>
      <c r="E9" s="1">
        <v>17479.919999999995</v>
      </c>
      <c r="F9" s="1">
        <v>17012.25</v>
      </c>
      <c r="G9" s="1">
        <v>13261.799999999996</v>
      </c>
      <c r="H9" s="1">
        <v>16096.500000000007</v>
      </c>
      <c r="I9" s="1">
        <v>17184.999999999993</v>
      </c>
      <c r="J9" s="1">
        <v>26471.35</v>
      </c>
      <c r="K9" s="1">
        <v>20007.699999999997</v>
      </c>
      <c r="L9" s="1">
        <v>20253.899999999998</v>
      </c>
      <c r="M9" s="1">
        <v>17647.849999999991</v>
      </c>
      <c r="N9" s="1">
        <v>21855.799999999992</v>
      </c>
      <c r="O9" s="1">
        <v>26535.300000000025</v>
      </c>
      <c r="P9" s="1">
        <v>15786.22000000001</v>
      </c>
      <c r="Q9" s="1">
        <v>19585.050000000007</v>
      </c>
      <c r="R9" s="1">
        <v>22223.19</v>
      </c>
    </row>
    <row r="10" spans="1:18" x14ac:dyDescent="0.3">
      <c r="A10" s="7" t="s">
        <v>6</v>
      </c>
      <c r="B10" s="1">
        <v>19114.69999999999</v>
      </c>
      <c r="C10" s="1">
        <v>19833.000000000015</v>
      </c>
      <c r="D10" s="1">
        <v>16808.299999999992</v>
      </c>
      <c r="E10" s="1">
        <v>11156.150000000001</v>
      </c>
      <c r="F10" s="1">
        <v>23381.300000000007</v>
      </c>
      <c r="G10" s="1">
        <v>23423.300000000003</v>
      </c>
      <c r="H10" s="1">
        <v>19906.700000000012</v>
      </c>
      <c r="I10" s="1">
        <v>18136.399999999991</v>
      </c>
      <c r="J10" s="1">
        <v>19169.099999999999</v>
      </c>
      <c r="K10" s="1">
        <v>21738.1</v>
      </c>
      <c r="L10" s="1">
        <v>19092.450000000008</v>
      </c>
      <c r="M10" s="1">
        <v>26048.600000000024</v>
      </c>
      <c r="N10" s="1">
        <v>19601.900000000001</v>
      </c>
      <c r="O10" s="1">
        <v>16085.399999999996</v>
      </c>
      <c r="P10" s="1">
        <v>17440.05</v>
      </c>
      <c r="Q10" s="1">
        <v>19040.8</v>
      </c>
      <c r="R10" s="1">
        <v>25650.150000000016</v>
      </c>
    </row>
    <row r="11" spans="1:18" x14ac:dyDescent="0.3">
      <c r="A11" s="7" t="s">
        <v>7</v>
      </c>
      <c r="B11" s="1">
        <v>9404.3999999999978</v>
      </c>
      <c r="C11" s="1">
        <v>7237.6999999999971</v>
      </c>
      <c r="D11" s="1">
        <v>10522.799999999997</v>
      </c>
      <c r="E11" s="1">
        <v>9814.6000000000076</v>
      </c>
      <c r="F11" s="1">
        <v>11533.400000000007</v>
      </c>
      <c r="G11" s="1">
        <v>4265.1499999999987</v>
      </c>
      <c r="H11" s="1">
        <v>2876.8000000000011</v>
      </c>
      <c r="I11" s="1">
        <v>9583.2000000000044</v>
      </c>
      <c r="J11" s="1">
        <v>8191.3499999999958</v>
      </c>
      <c r="K11" s="1">
        <v>13905.250000000009</v>
      </c>
      <c r="L11" s="1">
        <v>7134.9000000000024</v>
      </c>
      <c r="M11" s="1">
        <v>9252.7999999999993</v>
      </c>
      <c r="N11" s="1">
        <v>9257.1499999999978</v>
      </c>
      <c r="O11" s="1">
        <v>11495.635000000007</v>
      </c>
      <c r="P11" s="1">
        <v>3080.8999999999996</v>
      </c>
      <c r="Q11" s="1">
        <v>12144.399999999998</v>
      </c>
      <c r="R11" s="1">
        <v>7094.4999999999982</v>
      </c>
    </row>
    <row r="12" spans="1:18" x14ac:dyDescent="0.3">
      <c r="A12" s="7" t="s">
        <v>8</v>
      </c>
      <c r="B12" s="1">
        <v>4997.9999999999991</v>
      </c>
      <c r="C12" s="1">
        <v>5871.8300000000017</v>
      </c>
      <c r="D12" s="1">
        <v>6673.7400000000034</v>
      </c>
      <c r="E12" s="1">
        <v>9082.6499999999978</v>
      </c>
      <c r="F12" s="1">
        <v>6141.6500000000042</v>
      </c>
      <c r="G12" s="1">
        <v>5294.3499999999985</v>
      </c>
      <c r="H12" s="1">
        <v>7962.65</v>
      </c>
      <c r="I12" s="1">
        <v>4532.5000000000036</v>
      </c>
      <c r="J12" s="1">
        <v>6243.649999999996</v>
      </c>
      <c r="K12" s="1">
        <v>8147.6999999999971</v>
      </c>
      <c r="L12" s="1">
        <v>10888.999999999993</v>
      </c>
      <c r="M12" s="1">
        <v>6372.699999999998</v>
      </c>
      <c r="N12" s="1">
        <v>7956.67</v>
      </c>
      <c r="O12" s="1">
        <v>9360.3010000000013</v>
      </c>
      <c r="P12" s="1">
        <v>7975.2699999999977</v>
      </c>
      <c r="Q12" s="1">
        <v>7364.3499999999958</v>
      </c>
      <c r="R12" s="1">
        <v>11950.350000000004</v>
      </c>
    </row>
    <row r="13" spans="1:18" x14ac:dyDescent="0.3">
      <c r="A13" s="7" t="s">
        <v>9</v>
      </c>
      <c r="B13" s="1">
        <v>74372.500000000073</v>
      </c>
      <c r="C13" s="1">
        <v>75604.249999999942</v>
      </c>
      <c r="D13" s="1">
        <v>75397.465000000171</v>
      </c>
      <c r="E13" s="1">
        <v>78958.25</v>
      </c>
      <c r="F13" s="1">
        <v>82490.425000000061</v>
      </c>
      <c r="G13" s="1">
        <v>64203.569999999934</v>
      </c>
      <c r="H13" s="1">
        <v>98421.074999999953</v>
      </c>
      <c r="I13" s="1">
        <v>98688.55</v>
      </c>
      <c r="J13" s="1">
        <v>99637.650000000067</v>
      </c>
      <c r="K13" s="1">
        <v>108481.04999999996</v>
      </c>
      <c r="L13" s="1">
        <v>112989.14499999997</v>
      </c>
      <c r="M13" s="1">
        <v>99637.24000000002</v>
      </c>
      <c r="N13" s="1">
        <v>85290.359999999884</v>
      </c>
      <c r="O13" s="1">
        <v>84011.174500000096</v>
      </c>
      <c r="P13" s="1">
        <v>97463.889999999956</v>
      </c>
      <c r="Q13" s="1">
        <v>106589.7952999999</v>
      </c>
      <c r="R13" s="1">
        <v>121081.51030000011</v>
      </c>
    </row>
    <row r="14" spans="1:18" x14ac:dyDescent="0.3">
      <c r="A14" s="7" t="s">
        <v>10</v>
      </c>
      <c r="B14" s="1"/>
      <c r="C14" s="1">
        <v>1095.5499999999997</v>
      </c>
      <c r="D14" s="1">
        <v>3033.1999999999989</v>
      </c>
      <c r="E14" s="1">
        <v>572.95000000000005</v>
      </c>
      <c r="F14" s="1">
        <v>27.9</v>
      </c>
      <c r="G14" s="1">
        <v>2088.9499999999998</v>
      </c>
      <c r="H14" s="1"/>
      <c r="I14" s="1"/>
      <c r="J14" s="1"/>
      <c r="K14" s="1"/>
      <c r="L14" s="1"/>
      <c r="M14" s="1"/>
      <c r="N14" s="1"/>
      <c r="O14" s="1">
        <v>2195.6000000000013</v>
      </c>
      <c r="P14" s="1"/>
      <c r="Q14" s="1">
        <v>2943.4000000000005</v>
      </c>
      <c r="R14" s="1">
        <v>2360.2999999999993</v>
      </c>
    </row>
    <row r="15" spans="1:18" x14ac:dyDescent="0.3">
      <c r="A15" s="7" t="s">
        <v>11</v>
      </c>
      <c r="B15" s="1">
        <v>153.25</v>
      </c>
      <c r="C15" s="1">
        <v>861.63000000000011</v>
      </c>
      <c r="D15" s="1">
        <v>1917.3499999999995</v>
      </c>
      <c r="E15" s="1">
        <v>1956.3950000000007</v>
      </c>
      <c r="F15" s="1">
        <v>327.64999999999998</v>
      </c>
      <c r="G15" s="1">
        <v>1653.6899999999996</v>
      </c>
      <c r="H15" s="1">
        <v>1174.1250000000002</v>
      </c>
      <c r="I15" s="1">
        <v>1082.0999999999999</v>
      </c>
      <c r="J15" s="1">
        <v>1839.200000000001</v>
      </c>
      <c r="K15" s="1">
        <v>3008.9499999999989</v>
      </c>
      <c r="L15" s="1">
        <v>2648.8000000000015</v>
      </c>
      <c r="M15" s="1"/>
      <c r="N15" s="1">
        <v>878.39999999999975</v>
      </c>
      <c r="O15" s="1">
        <v>1644.6</v>
      </c>
      <c r="P15" s="1">
        <v>1379.7</v>
      </c>
      <c r="Q15" s="1">
        <v>1891.6000000000001</v>
      </c>
      <c r="R15" s="1">
        <v>1252.75</v>
      </c>
    </row>
    <row r="16" spans="1:18" x14ac:dyDescent="0.3">
      <c r="A16" s="7" t="s">
        <v>12</v>
      </c>
      <c r="B16" s="1">
        <v>18958.749999999993</v>
      </c>
      <c r="C16" s="1">
        <v>20077.150000000012</v>
      </c>
      <c r="D16" s="1">
        <v>18992.550000000014</v>
      </c>
      <c r="E16" s="1">
        <v>20892.445999999974</v>
      </c>
      <c r="F16" s="1">
        <v>19828.249999999989</v>
      </c>
      <c r="G16" s="1">
        <v>16737.350000000002</v>
      </c>
      <c r="H16" s="1">
        <v>12518.070000000002</v>
      </c>
      <c r="I16" s="1">
        <v>18708.200000000004</v>
      </c>
      <c r="J16" s="1">
        <v>13448.600000000006</v>
      </c>
      <c r="K16" s="1">
        <v>28052.599999999991</v>
      </c>
      <c r="L16" s="1">
        <v>18618.099999999984</v>
      </c>
      <c r="M16" s="1">
        <v>18181.400000000005</v>
      </c>
      <c r="N16" s="1">
        <v>16705</v>
      </c>
      <c r="O16" s="1">
        <v>15396.920000000004</v>
      </c>
      <c r="P16" s="1">
        <v>15235.944999999992</v>
      </c>
      <c r="Q16" s="1">
        <v>18280.449999999993</v>
      </c>
      <c r="R16" s="1">
        <v>21576.95</v>
      </c>
    </row>
    <row r="17" spans="1:18" x14ac:dyDescent="0.3">
      <c r="A17" s="7" t="s">
        <v>13</v>
      </c>
      <c r="B17" s="1">
        <v>3709.8500000000008</v>
      </c>
      <c r="C17" s="1">
        <v>1159.45</v>
      </c>
      <c r="D17" s="1">
        <v>251.15000000000003</v>
      </c>
      <c r="E17" s="1">
        <v>1667.7500000000002</v>
      </c>
      <c r="F17" s="1">
        <v>3115.4000000000005</v>
      </c>
      <c r="G17" s="1">
        <v>67.900000000000006</v>
      </c>
      <c r="H17" s="1"/>
      <c r="I17" s="1">
        <v>2307.4999999999991</v>
      </c>
      <c r="J17" s="1"/>
      <c r="K17" s="1"/>
      <c r="L17" s="1">
        <v>3104.8000000000006</v>
      </c>
      <c r="M17" s="1">
        <v>775.15000000000009</v>
      </c>
      <c r="N17" s="1">
        <v>516.54999999999995</v>
      </c>
      <c r="O17" s="1">
        <v>869.09999999999991</v>
      </c>
      <c r="P17" s="1">
        <v>2406.1999999999998</v>
      </c>
      <c r="Q17" s="1">
        <v>281.5</v>
      </c>
      <c r="R17" s="1">
        <v>397.03999999999996</v>
      </c>
    </row>
    <row r="18" spans="1:18" x14ac:dyDescent="0.3">
      <c r="A18" s="7" t="s">
        <v>14</v>
      </c>
      <c r="B18" s="1">
        <v>5271.5599999999977</v>
      </c>
      <c r="C18" s="1">
        <v>5075.5499999999984</v>
      </c>
      <c r="D18" s="1">
        <v>4393.3</v>
      </c>
      <c r="E18" s="1">
        <v>2598.3000000000011</v>
      </c>
      <c r="F18" s="1">
        <v>5447.3499999999995</v>
      </c>
      <c r="G18" s="1">
        <v>4640.1499999999987</v>
      </c>
      <c r="H18" s="1">
        <v>3127.1499999999996</v>
      </c>
      <c r="I18" s="1">
        <v>1036.6000000000001</v>
      </c>
      <c r="J18" s="1">
        <v>6207.55</v>
      </c>
      <c r="K18" s="1">
        <v>7007.75</v>
      </c>
      <c r="L18" s="1">
        <v>4076.3999999999992</v>
      </c>
      <c r="M18" s="1">
        <v>6412.7000000000007</v>
      </c>
      <c r="N18" s="1">
        <v>4303.3000000000011</v>
      </c>
      <c r="O18" s="1">
        <v>2637.3999999999996</v>
      </c>
      <c r="P18" s="1">
        <v>6069.7499999999991</v>
      </c>
      <c r="Q18" s="1">
        <v>3911.2800000000007</v>
      </c>
      <c r="R18" s="1">
        <v>854.35000000000014</v>
      </c>
    </row>
    <row r="19" spans="1:18" x14ac:dyDescent="0.3">
      <c r="A19" s="7" t="s">
        <v>15</v>
      </c>
      <c r="B19" s="1">
        <v>20004.649999999972</v>
      </c>
      <c r="C19" s="1">
        <v>14477.466999999995</v>
      </c>
      <c r="D19" s="1">
        <v>12973.449999999995</v>
      </c>
      <c r="E19" s="1">
        <v>22871.69</v>
      </c>
      <c r="F19" s="1">
        <v>18464.049999999985</v>
      </c>
      <c r="G19" s="1">
        <v>12480.450000000008</v>
      </c>
      <c r="H19" s="1">
        <v>15201.799999999997</v>
      </c>
      <c r="I19" s="1">
        <v>14214.049999999992</v>
      </c>
      <c r="J19" s="1">
        <v>11242.400000000003</v>
      </c>
      <c r="K19" s="1">
        <v>10099.349999999997</v>
      </c>
      <c r="L19" s="1">
        <v>28901.199999999997</v>
      </c>
      <c r="M19" s="1">
        <v>15986.900000000003</v>
      </c>
      <c r="N19" s="1">
        <v>15161.400000000007</v>
      </c>
      <c r="O19" s="1">
        <v>14273.439999999999</v>
      </c>
      <c r="P19" s="1">
        <v>18591.080000000002</v>
      </c>
      <c r="Q19" s="1">
        <v>17879.850000000013</v>
      </c>
      <c r="R19" s="1">
        <v>17666.545000000002</v>
      </c>
    </row>
    <row r="20" spans="1:18" x14ac:dyDescent="0.3">
      <c r="A20" s="7" t="s">
        <v>16</v>
      </c>
      <c r="B20" s="1">
        <v>13231.67500000001</v>
      </c>
      <c r="C20" s="1">
        <v>18423.05000000001</v>
      </c>
      <c r="D20" s="1">
        <v>11946.020000000002</v>
      </c>
      <c r="E20" s="1">
        <v>12829.399999999996</v>
      </c>
      <c r="F20" s="1">
        <v>22510.749999999989</v>
      </c>
      <c r="G20" s="1">
        <v>13941.050000000001</v>
      </c>
      <c r="H20" s="1">
        <v>10713.949999999997</v>
      </c>
      <c r="I20" s="1">
        <v>16563.950000000004</v>
      </c>
      <c r="J20" s="1">
        <v>18411.599999999995</v>
      </c>
      <c r="K20" s="1">
        <v>12805.65</v>
      </c>
      <c r="L20" s="1">
        <v>15727.550000000001</v>
      </c>
      <c r="M20" s="1">
        <v>25449.69999999999</v>
      </c>
      <c r="N20" s="1">
        <v>14887.160000000003</v>
      </c>
      <c r="O20" s="1">
        <v>18323.400000000001</v>
      </c>
      <c r="P20" s="1">
        <v>18806.400000000001</v>
      </c>
      <c r="Q20" s="1">
        <v>23907.699999999997</v>
      </c>
      <c r="R20" s="1">
        <v>22009.120000000003</v>
      </c>
    </row>
    <row r="21" spans="1:18" x14ac:dyDescent="0.3">
      <c r="B21" s="12">
        <f>SUM(B4:B20)</f>
        <v>228078.54000000004</v>
      </c>
      <c r="C21" s="12">
        <f t="shared" ref="C21:R21" si="0">SUM(C4:C20)</f>
        <v>222933.50699999998</v>
      </c>
      <c r="D21" s="12">
        <f t="shared" si="0"/>
        <v>216865.27500000017</v>
      </c>
      <c r="E21" s="12">
        <f t="shared" si="0"/>
        <v>237720.85599999994</v>
      </c>
      <c r="F21" s="12">
        <f t="shared" si="0"/>
        <v>251844.12500000009</v>
      </c>
      <c r="G21" s="12">
        <f t="shared" si="0"/>
        <v>193398.30999999991</v>
      </c>
      <c r="H21" s="12">
        <f t="shared" si="0"/>
        <v>233394.11999999994</v>
      </c>
      <c r="I21" s="12">
        <f t="shared" si="0"/>
        <v>248310.15000000002</v>
      </c>
      <c r="J21" s="12">
        <f t="shared" si="0"/>
        <v>254219.55000000005</v>
      </c>
      <c r="K21" s="12">
        <f t="shared" si="0"/>
        <v>279463.92499999999</v>
      </c>
      <c r="L21" s="12">
        <f t="shared" si="0"/>
        <v>296980.49499999988</v>
      </c>
      <c r="M21" s="12">
        <f t="shared" si="0"/>
        <v>273615.11</v>
      </c>
      <c r="N21" s="12">
        <f t="shared" si="0"/>
        <v>230797.85019999984</v>
      </c>
      <c r="O21" s="12">
        <f t="shared" si="0"/>
        <v>238248.08050000016</v>
      </c>
      <c r="P21" s="12">
        <f t="shared" si="0"/>
        <v>251235.12000000002</v>
      </c>
      <c r="Q21" s="12">
        <f t="shared" si="0"/>
        <v>280913.08029999986</v>
      </c>
      <c r="R21" s="12">
        <f t="shared" si="0"/>
        <v>304360.45530000009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D0A1-3EE3-4F3E-8B59-639C8388DF9A}">
  <dimension ref="A1:S21"/>
  <sheetViews>
    <sheetView tabSelected="1" workbookViewId="0">
      <selection activeCell="R23" sqref="R23"/>
    </sheetView>
  </sheetViews>
  <sheetFormatPr defaultRowHeight="14.4" x14ac:dyDescent="0.3"/>
  <cols>
    <col min="1" max="1" width="15.77734375" customWidth="1"/>
    <col min="2" max="15" width="8.88671875" customWidth="1"/>
  </cols>
  <sheetData>
    <row r="1" spans="1:19" ht="27" customHeight="1" x14ac:dyDescent="0.3">
      <c r="A1" s="11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9" x14ac:dyDescent="0.3">
      <c r="A3" s="5" t="s">
        <v>17</v>
      </c>
      <c r="B3" s="6">
        <v>45292</v>
      </c>
      <c r="C3" s="6">
        <v>45323</v>
      </c>
      <c r="D3" s="6">
        <v>45352</v>
      </c>
      <c r="E3" s="6">
        <v>45383</v>
      </c>
      <c r="F3" s="6">
        <v>45413</v>
      </c>
      <c r="G3" s="6">
        <v>45444</v>
      </c>
      <c r="H3" s="6">
        <v>45474</v>
      </c>
      <c r="I3" s="6">
        <v>45505</v>
      </c>
      <c r="J3" s="6">
        <v>45536</v>
      </c>
      <c r="K3" s="6">
        <v>45566</v>
      </c>
      <c r="L3" s="6">
        <v>45597</v>
      </c>
      <c r="M3" s="6">
        <v>45627</v>
      </c>
      <c r="N3" s="6">
        <v>45658</v>
      </c>
      <c r="O3" s="6">
        <v>45689</v>
      </c>
      <c r="P3" s="6">
        <v>45717</v>
      </c>
      <c r="Q3" s="6">
        <v>45748</v>
      </c>
      <c r="R3" s="6">
        <v>45778</v>
      </c>
    </row>
    <row r="4" spans="1:19" x14ac:dyDescent="0.3">
      <c r="A4" s="7" t="s">
        <v>0</v>
      </c>
      <c r="B4" s="13">
        <v>13746.821339536064</v>
      </c>
      <c r="C4" s="13">
        <v>16184.161339535991</v>
      </c>
      <c r="D4" s="13">
        <v>19386.157390828746</v>
      </c>
      <c r="E4" s="13">
        <v>20531.580946990565</v>
      </c>
      <c r="F4" s="13">
        <v>20625.440459699115</v>
      </c>
      <c r="G4" s="13">
        <v>18881.777247538987</v>
      </c>
      <c r="H4" s="13">
        <v>15321.020690012823</v>
      </c>
      <c r="I4" s="13">
        <v>20900.969158772699</v>
      </c>
      <c r="J4" s="13">
        <v>19266.282237668827</v>
      </c>
      <c r="K4" s="13">
        <v>16954.16989104099</v>
      </c>
      <c r="L4" s="13">
        <v>13006.382679638469</v>
      </c>
      <c r="M4" s="13">
        <v>15318.606287496761</v>
      </c>
      <c r="N4" s="13">
        <v>18834.992678092083</v>
      </c>
      <c r="O4" s="13">
        <v>15687.545362612454</v>
      </c>
      <c r="P4" s="13">
        <v>16077.490067735558</v>
      </c>
      <c r="Q4" s="13">
        <v>14432.279508569842</v>
      </c>
      <c r="R4" s="13">
        <v>14119.752630505267</v>
      </c>
      <c r="S4" s="13"/>
    </row>
    <row r="5" spans="1:19" x14ac:dyDescent="0.3">
      <c r="A5" s="7" t="s">
        <v>1</v>
      </c>
      <c r="B5" s="13">
        <v>2781.8571366520964</v>
      </c>
      <c r="C5" s="13">
        <v>3430.3515735226329</v>
      </c>
      <c r="D5" s="13">
        <v>7111.8756520824008</v>
      </c>
      <c r="E5" s="13">
        <v>6994.1020933817854</v>
      </c>
      <c r="F5" s="13">
        <v>10032.175355827301</v>
      </c>
      <c r="G5" s="13">
        <v>8052.2913879064436</v>
      </c>
      <c r="H5" s="13">
        <v>5388.6657879615723</v>
      </c>
      <c r="I5" s="13">
        <v>4589.4542779228595</v>
      </c>
      <c r="J5" s="13">
        <v>3268.7988418721025</v>
      </c>
      <c r="K5" s="13">
        <v>3807.7791505764289</v>
      </c>
      <c r="L5" s="13">
        <v>1305.0569220465186</v>
      </c>
      <c r="M5" s="13">
        <v>1391.3747611256522</v>
      </c>
      <c r="N5" s="13">
        <v>2561.3218996522114</v>
      </c>
      <c r="O5" s="13">
        <v>2112.402234139895</v>
      </c>
      <c r="P5" s="13">
        <v>3622.1483953453144</v>
      </c>
      <c r="Q5" s="13">
        <v>4040.3413671612416</v>
      </c>
      <c r="R5" s="13">
        <v>3386.5896338313623</v>
      </c>
      <c r="S5" s="13"/>
    </row>
    <row r="6" spans="1:19" x14ac:dyDescent="0.3">
      <c r="A6" s="7" t="s">
        <v>2</v>
      </c>
      <c r="B6" s="13">
        <v>3071.7712745881227</v>
      </c>
      <c r="C6" s="13">
        <v>2762.4747578128017</v>
      </c>
      <c r="D6" s="13">
        <v>4640.4486153192138</v>
      </c>
      <c r="E6" s="13">
        <v>3958.4366783730575</v>
      </c>
      <c r="F6" s="13">
        <v>4334.4153359310076</v>
      </c>
      <c r="G6" s="13">
        <v>3564.7132293347586</v>
      </c>
      <c r="H6" s="13">
        <v>2411.9745660795165</v>
      </c>
      <c r="I6" s="13">
        <v>4257.8651490974507</v>
      </c>
      <c r="J6" s="13">
        <v>4284.4221338302104</v>
      </c>
      <c r="K6" s="13">
        <v>2801.4390590210601</v>
      </c>
      <c r="L6" s="13">
        <v>1382.8230972175443</v>
      </c>
      <c r="M6" s="13">
        <v>1055.8972395053343</v>
      </c>
      <c r="N6" s="13">
        <v>1366.3458977143559</v>
      </c>
      <c r="O6" s="13">
        <v>1496.7745202936617</v>
      </c>
      <c r="P6" s="13">
        <v>1300.2709565917376</v>
      </c>
      <c r="Q6" s="13">
        <v>3174.829415547289</v>
      </c>
      <c r="R6" s="13">
        <v>2832.516688597233</v>
      </c>
      <c r="S6" s="13"/>
    </row>
    <row r="7" spans="1:19" x14ac:dyDescent="0.3">
      <c r="A7" s="7" t="s">
        <v>3</v>
      </c>
      <c r="B7" s="13">
        <v>11393.259428320027</v>
      </c>
      <c r="C7" s="13">
        <v>9252.0015664707025</v>
      </c>
      <c r="D7" s="13">
        <v>10424.797267457179</v>
      </c>
      <c r="E7" s="13">
        <v>11782.348462415583</v>
      </c>
      <c r="F7" s="13">
        <v>10663.314009014646</v>
      </c>
      <c r="G7" s="13">
        <v>10851.216847333711</v>
      </c>
      <c r="H7" s="13">
        <v>9240.385408250635</v>
      </c>
      <c r="I7" s="13">
        <v>13682.706889345804</v>
      </c>
      <c r="J7" s="13">
        <v>15834.901091343851</v>
      </c>
      <c r="K7" s="13">
        <v>9503.2325596348655</v>
      </c>
      <c r="L7" s="13">
        <v>7081.2807022857014</v>
      </c>
      <c r="M7" s="13">
        <v>6436.2362492820866</v>
      </c>
      <c r="N7" s="13">
        <v>7252.9699132245059</v>
      </c>
      <c r="O7" s="13">
        <v>6025.380150664294</v>
      </c>
      <c r="P7" s="13">
        <v>4602.2342524447995</v>
      </c>
      <c r="Q7" s="13">
        <v>7518.0173113427481</v>
      </c>
      <c r="R7" s="13">
        <v>10350.593266104635</v>
      </c>
      <c r="S7" s="13"/>
    </row>
    <row r="8" spans="1:19" x14ac:dyDescent="0.3">
      <c r="A8" s="7" t="s">
        <v>4</v>
      </c>
      <c r="B8" s="13">
        <v>13442.07945420067</v>
      </c>
      <c r="C8" s="13">
        <v>17221.878337699964</v>
      </c>
      <c r="D8" s="13">
        <v>15242.305195015999</v>
      </c>
      <c r="E8" s="13">
        <v>11938.875825945683</v>
      </c>
      <c r="F8" s="13">
        <v>17738.844322115267</v>
      </c>
      <c r="G8" s="13">
        <v>20255.6706016772</v>
      </c>
      <c r="H8" s="13">
        <v>15473.957155259825</v>
      </c>
      <c r="I8" s="13">
        <v>9603.8025258225643</v>
      </c>
      <c r="J8" s="13">
        <v>9390.9685504266054</v>
      </c>
      <c r="K8" s="13">
        <v>10775.397544967884</v>
      </c>
      <c r="L8" s="13">
        <v>11045.727459324113</v>
      </c>
      <c r="M8" s="13">
        <v>10489.748689640379</v>
      </c>
      <c r="N8" s="13">
        <v>13267.376950121434</v>
      </c>
      <c r="O8" s="13">
        <v>12097.173170892691</v>
      </c>
      <c r="P8" s="13">
        <v>7499.2653863921605</v>
      </c>
      <c r="Q8" s="13">
        <v>9659.8700093849966</v>
      </c>
      <c r="R8" s="13">
        <v>13267.324375827213</v>
      </c>
      <c r="S8" s="13"/>
    </row>
    <row r="9" spans="1:19" x14ac:dyDescent="0.3">
      <c r="A9" s="7" t="s">
        <v>5</v>
      </c>
      <c r="B9" s="13">
        <v>23958.81850641685</v>
      </c>
      <c r="C9" s="13">
        <v>26794.722310077661</v>
      </c>
      <c r="D9" s="13">
        <v>26503.585185679807</v>
      </c>
      <c r="E9" s="13">
        <v>20479.772204308592</v>
      </c>
      <c r="F9" s="13">
        <v>21803.926934578216</v>
      </c>
      <c r="G9" s="13">
        <v>21339.274400613111</v>
      </c>
      <c r="H9" s="13">
        <v>16341.076166884552</v>
      </c>
      <c r="I9" s="13">
        <v>15770.610016430601</v>
      </c>
      <c r="J9" s="13">
        <v>14637.003572315149</v>
      </c>
      <c r="K9" s="13">
        <v>15675.674273048615</v>
      </c>
      <c r="L9" s="13">
        <v>10394.90338305628</v>
      </c>
      <c r="M9" s="13">
        <v>7293.8002303433677</v>
      </c>
      <c r="N9" s="13">
        <v>8387.4794039334229</v>
      </c>
      <c r="O9" s="13">
        <v>11376.729575076624</v>
      </c>
      <c r="P9" s="13">
        <v>16056.560567014181</v>
      </c>
      <c r="Q9" s="13">
        <v>14407.627441720675</v>
      </c>
      <c r="R9" s="13">
        <v>14387.902232072332</v>
      </c>
      <c r="S9" s="13"/>
    </row>
    <row r="10" spans="1:19" x14ac:dyDescent="0.3">
      <c r="A10" s="7" t="s">
        <v>6</v>
      </c>
      <c r="B10" s="13">
        <v>25749.359557058197</v>
      </c>
      <c r="C10" s="13">
        <v>30421.319016460955</v>
      </c>
      <c r="D10" s="13">
        <v>39301.108637743935</v>
      </c>
      <c r="E10" s="13">
        <v>36879.390856479135</v>
      </c>
      <c r="F10" s="13">
        <v>28042.495254937072</v>
      </c>
      <c r="G10" s="13">
        <v>27989.242572962368</v>
      </c>
      <c r="H10" s="13">
        <v>26076.637526045193</v>
      </c>
      <c r="I10" s="13">
        <v>27541.731893247361</v>
      </c>
      <c r="J10" s="13">
        <v>22742.761983530709</v>
      </c>
      <c r="K10" s="13">
        <v>18314.005000182835</v>
      </c>
      <c r="L10" s="13">
        <v>14113.35230996435</v>
      </c>
      <c r="M10" s="13">
        <v>11127.193804087277</v>
      </c>
      <c r="N10" s="13">
        <v>13691.810786149879</v>
      </c>
      <c r="O10" s="13">
        <v>12931.500751772273</v>
      </c>
      <c r="P10" s="13">
        <v>12002.560599054052</v>
      </c>
      <c r="Q10" s="13">
        <v>15988.462839055621</v>
      </c>
      <c r="R10" s="13">
        <v>15587.559118284815</v>
      </c>
      <c r="S10" s="13"/>
    </row>
    <row r="11" spans="1:19" x14ac:dyDescent="0.3">
      <c r="A11" s="7" t="s">
        <v>7</v>
      </c>
      <c r="B11" s="13">
        <v>13863.566181996217</v>
      </c>
      <c r="C11" s="13">
        <v>15982.718558934917</v>
      </c>
      <c r="D11" s="13">
        <v>13273.796043102766</v>
      </c>
      <c r="E11" s="13">
        <v>11768.256375127297</v>
      </c>
      <c r="F11" s="13">
        <v>14759.252354784983</v>
      </c>
      <c r="G11" s="13">
        <v>19355.421755838503</v>
      </c>
      <c r="H11" s="13">
        <v>15648.181880501914</v>
      </c>
      <c r="I11" s="13">
        <v>11382.254122554648</v>
      </c>
      <c r="J11" s="13">
        <v>11594.853318327041</v>
      </c>
      <c r="K11" s="13">
        <v>7759.6212930918737</v>
      </c>
      <c r="L11" s="13">
        <v>8689.0117335974537</v>
      </c>
      <c r="M11" s="13">
        <v>4490.6844764164089</v>
      </c>
      <c r="N11" s="13">
        <v>7173.1616584339672</v>
      </c>
      <c r="O11" s="13">
        <v>8720.3290106001932</v>
      </c>
      <c r="P11" s="13">
        <v>11235.488465846825</v>
      </c>
      <c r="Q11" s="13">
        <v>8442.132743872904</v>
      </c>
      <c r="R11" s="13">
        <v>12361.475458019115</v>
      </c>
      <c r="S11" s="13"/>
    </row>
    <row r="12" spans="1:19" x14ac:dyDescent="0.3">
      <c r="A12" s="7" t="s">
        <v>8</v>
      </c>
      <c r="B12" s="13">
        <v>5319.8720088376886</v>
      </c>
      <c r="C12" s="13">
        <v>4964.6242365038825</v>
      </c>
      <c r="D12" s="13">
        <v>5931.5338476425577</v>
      </c>
      <c r="E12" s="13">
        <v>6858.5715742108932</v>
      </c>
      <c r="F12" s="13">
        <v>10264.406612601933</v>
      </c>
      <c r="G12" s="13">
        <v>9570.4177016890608</v>
      </c>
      <c r="H12" s="13">
        <v>7295.4580650580156</v>
      </c>
      <c r="I12" s="13">
        <v>8359.4404353672908</v>
      </c>
      <c r="J12" s="13">
        <v>6277.0774721990711</v>
      </c>
      <c r="K12" s="13">
        <v>3807.5583647285093</v>
      </c>
      <c r="L12" s="13">
        <v>2402.599206785877</v>
      </c>
      <c r="M12" s="13">
        <v>4170.4996030930615</v>
      </c>
      <c r="N12" s="13">
        <v>4127.3597840717875</v>
      </c>
      <c r="O12" s="13">
        <v>4387.0669037352945</v>
      </c>
      <c r="P12" s="13">
        <v>4800.59749677951</v>
      </c>
      <c r="Q12" s="13">
        <v>5393.4224293052375</v>
      </c>
      <c r="R12" s="13">
        <v>4708.6830976882666</v>
      </c>
      <c r="S12" s="13"/>
    </row>
    <row r="13" spans="1:19" x14ac:dyDescent="0.3">
      <c r="A13" s="7" t="s">
        <v>9</v>
      </c>
      <c r="B13" s="13">
        <v>76689.624566954531</v>
      </c>
      <c r="C13" s="13">
        <v>96016.821465854126</v>
      </c>
      <c r="D13" s="13">
        <v>106324.49768838503</v>
      </c>
      <c r="E13" s="13">
        <v>101381.08993745495</v>
      </c>
      <c r="F13" s="13">
        <v>100025.35881131334</v>
      </c>
      <c r="G13" s="13">
        <v>96016.027301389913</v>
      </c>
      <c r="H13" s="13">
        <v>61185.903831949778</v>
      </c>
      <c r="I13" s="13">
        <v>69150.532751950188</v>
      </c>
      <c r="J13" s="13">
        <v>66650.811302496819</v>
      </c>
      <c r="K13" s="13">
        <v>54380.956125530822</v>
      </c>
      <c r="L13" s="13">
        <v>38350.538780946939</v>
      </c>
      <c r="M13" s="13">
        <v>36173.324085360975</v>
      </c>
      <c r="N13" s="13">
        <v>46499.918237092395</v>
      </c>
      <c r="O13" s="13">
        <v>39212.908231539725</v>
      </c>
      <c r="P13" s="13">
        <v>31859.654950681666</v>
      </c>
      <c r="Q13" s="13">
        <v>40154.857236897646</v>
      </c>
      <c r="R13" s="13">
        <v>44141.361467181414</v>
      </c>
      <c r="S13" s="13"/>
    </row>
    <row r="14" spans="1:19" x14ac:dyDescent="0.3">
      <c r="A14" s="7" t="s">
        <v>10</v>
      </c>
      <c r="B14" s="13">
        <v>1072.7871865565889</v>
      </c>
      <c r="C14" s="13">
        <v>762.48407729204359</v>
      </c>
      <c r="D14" s="13">
        <v>1199.7073685719629</v>
      </c>
      <c r="E14" s="13">
        <v>3296.0517228714448</v>
      </c>
      <c r="F14" s="13">
        <v>2504.4852209011433</v>
      </c>
      <c r="G14" s="13">
        <v>1328.3091983058393</v>
      </c>
      <c r="H14" s="13">
        <v>2567.7058541536762</v>
      </c>
      <c r="I14" s="13">
        <v>2203.6747724566212</v>
      </c>
      <c r="J14" s="13">
        <v>1769.1595724566209</v>
      </c>
      <c r="K14" s="13">
        <v>1241.8520100153057</v>
      </c>
      <c r="L14" s="13">
        <v>942.31815256611594</v>
      </c>
      <c r="M14" s="13">
        <v>689.94462325011659</v>
      </c>
      <c r="N14" s="13">
        <v>402.73104260495506</v>
      </c>
      <c r="O14" s="13">
        <v>96.643990139450807</v>
      </c>
      <c r="P14" s="13">
        <v>1681.4725970860432</v>
      </c>
      <c r="Q14" s="13">
        <v>820.51815187702528</v>
      </c>
      <c r="R14" s="13">
        <v>2160.7335174400177</v>
      </c>
      <c r="S14" s="13"/>
    </row>
    <row r="15" spans="1:19" x14ac:dyDescent="0.3">
      <c r="A15" s="7" t="s">
        <v>11</v>
      </c>
      <c r="B15" s="13">
        <v>5706.7700000004952</v>
      </c>
      <c r="C15" s="13">
        <v>5276.7200000004968</v>
      </c>
      <c r="D15" s="13">
        <v>5391.050000000505</v>
      </c>
      <c r="E15" s="13">
        <v>5871.0000000004848</v>
      </c>
      <c r="F15" s="13">
        <v>6396.1950000004726</v>
      </c>
      <c r="G15" s="13">
        <v>5156.3850000004495</v>
      </c>
      <c r="H15" s="13">
        <v>4872.9950000004146</v>
      </c>
      <c r="I15" s="13">
        <v>4342.5600000003715</v>
      </c>
      <c r="J15" s="13">
        <v>4120.4800000003297</v>
      </c>
      <c r="K15" s="13">
        <v>4491.680000000295</v>
      </c>
      <c r="L15" s="13">
        <v>4978.2500000002547</v>
      </c>
      <c r="M15" s="13">
        <v>6179.6900000002206</v>
      </c>
      <c r="N15" s="13">
        <v>4760.2100000001974</v>
      </c>
      <c r="O15" s="13">
        <v>4217.8900000001695</v>
      </c>
      <c r="P15" s="13">
        <v>4331.4500000001271</v>
      </c>
      <c r="Q15" s="13">
        <v>4108.4900000000853</v>
      </c>
      <c r="R15" s="13">
        <v>4387.3100000000459</v>
      </c>
      <c r="S15" s="13"/>
    </row>
    <row r="16" spans="1:19" x14ac:dyDescent="0.3">
      <c r="A16" s="7" t="s">
        <v>12</v>
      </c>
      <c r="B16" s="13">
        <v>19034.51865770897</v>
      </c>
      <c r="C16" s="13">
        <v>22515.545348344902</v>
      </c>
      <c r="D16" s="13">
        <v>27529.65315779622</v>
      </c>
      <c r="E16" s="13">
        <v>32206.722937056078</v>
      </c>
      <c r="F16" s="13">
        <v>37290.472476432333</v>
      </c>
      <c r="G16" s="13">
        <v>39669.967239284015</v>
      </c>
      <c r="H16" s="13">
        <v>35299.948768099654</v>
      </c>
      <c r="I16" s="13">
        <v>33693.45146996151</v>
      </c>
      <c r="J16" s="13">
        <v>32830.143620619565</v>
      </c>
      <c r="K16" s="13">
        <v>13225.128557069642</v>
      </c>
      <c r="L16" s="13">
        <v>7428.1380989194222</v>
      </c>
      <c r="M16" s="13">
        <v>5681.3189299309233</v>
      </c>
      <c r="N16" s="13">
        <v>8605.1017516099873</v>
      </c>
      <c r="O16" s="13">
        <v>14884.934763899384</v>
      </c>
      <c r="P16" s="13">
        <v>11362.375117384243</v>
      </c>
      <c r="Q16" s="13">
        <v>13280.765306562578</v>
      </c>
      <c r="R16" s="13">
        <v>7692.3018550012312</v>
      </c>
      <c r="S16" s="13"/>
    </row>
    <row r="17" spans="1:19" x14ac:dyDescent="0.3">
      <c r="A17" s="7" t="s">
        <v>13</v>
      </c>
      <c r="B17" s="13">
        <v>675.14600000024757</v>
      </c>
      <c r="C17" s="13">
        <v>3898.5460000002499</v>
      </c>
      <c r="D17" s="13">
        <v>4108.7860000002356</v>
      </c>
      <c r="E17" s="13">
        <v>3054.0420000002114</v>
      </c>
      <c r="F17" s="13">
        <v>3702.2020000002021</v>
      </c>
      <c r="G17" s="13">
        <v>4907.3140000001713</v>
      </c>
      <c r="H17" s="13">
        <v>2804.612000000122</v>
      </c>
      <c r="I17" s="13">
        <v>2003.8900000001206</v>
      </c>
      <c r="J17" s="13">
        <v>3714.3100000001214</v>
      </c>
      <c r="K17" s="13">
        <v>2828.3960000001171</v>
      </c>
      <c r="L17" s="13">
        <v>1527.0100000000991</v>
      </c>
      <c r="M17" s="13">
        <v>3423.8040000000774</v>
      </c>
      <c r="N17" s="13">
        <v>3591.5240000000799</v>
      </c>
      <c r="O17" s="13">
        <v>3056.8820000000655</v>
      </c>
      <c r="P17" s="13">
        <v>2718.5740000000524</v>
      </c>
      <c r="Q17" s="13">
        <v>4060.242000000042</v>
      </c>
      <c r="R17" s="13">
        <v>3093.6700000000228</v>
      </c>
      <c r="S17" s="13"/>
    </row>
    <row r="18" spans="1:19" x14ac:dyDescent="0.3">
      <c r="A18" s="7" t="s">
        <v>14</v>
      </c>
      <c r="B18" s="13">
        <v>4042.3971231600899</v>
      </c>
      <c r="C18" s="13">
        <v>6710.5221199644257</v>
      </c>
      <c r="D18" s="13">
        <v>9043.3054649272108</v>
      </c>
      <c r="E18" s="13">
        <v>9951.8495693576333</v>
      </c>
      <c r="F18" s="13">
        <v>9843.2842097238463</v>
      </c>
      <c r="G18" s="13">
        <v>12191.395055665806</v>
      </c>
      <c r="H18" s="13">
        <v>12129.227628159711</v>
      </c>
      <c r="I18" s="13">
        <v>11572.636779553788</v>
      </c>
      <c r="J18" s="13">
        <v>7874.1315274135641</v>
      </c>
      <c r="K18" s="13">
        <v>8165.6076190497524</v>
      </c>
      <c r="L18" s="13">
        <v>9405.3847505833855</v>
      </c>
      <c r="M18" s="13">
        <v>7874.1960989308518</v>
      </c>
      <c r="N18" s="13">
        <v>10654.34867292219</v>
      </c>
      <c r="O18" s="13">
        <v>11360.84354587549</v>
      </c>
      <c r="P18" s="13">
        <v>10189.351640220315</v>
      </c>
      <c r="Q18" s="13">
        <v>12516.550694093939</v>
      </c>
      <c r="R18" s="13">
        <v>12884.732076909298</v>
      </c>
      <c r="S18" s="13"/>
    </row>
    <row r="19" spans="1:19" x14ac:dyDescent="0.3">
      <c r="A19" s="7" t="s">
        <v>15</v>
      </c>
      <c r="B19" s="13">
        <v>8637.7804240178775</v>
      </c>
      <c r="C19" s="13">
        <v>6688.2517478654263</v>
      </c>
      <c r="D19" s="13">
        <v>12264.983783306743</v>
      </c>
      <c r="E19" s="13">
        <v>8018.9200858361419</v>
      </c>
      <c r="F19" s="13">
        <v>12798.949687501767</v>
      </c>
      <c r="G19" s="13">
        <v>16391.160136315455</v>
      </c>
      <c r="H19" s="13">
        <v>13178.074421036714</v>
      </c>
      <c r="I19" s="13">
        <v>18089.412037697999</v>
      </c>
      <c r="J19" s="13">
        <v>20450.357445423713</v>
      </c>
      <c r="K19" s="13">
        <v>16411.138267891729</v>
      </c>
      <c r="L19" s="13">
        <v>6714.9565707374531</v>
      </c>
      <c r="M19" s="13">
        <v>10116.157704128682</v>
      </c>
      <c r="N19" s="13">
        <v>10131.483896797143</v>
      </c>
      <c r="O19" s="13">
        <v>6250.636794921229</v>
      </c>
      <c r="P19" s="13">
        <v>7346.9444104444665</v>
      </c>
      <c r="Q19" s="13">
        <v>11932.8794216814</v>
      </c>
      <c r="R19" s="13">
        <v>7776.0973800797019</v>
      </c>
      <c r="S19" s="13"/>
    </row>
    <row r="20" spans="1:19" x14ac:dyDescent="0.3">
      <c r="A20" s="7" t="s">
        <v>16</v>
      </c>
      <c r="B20" s="13">
        <v>12877.993918562537</v>
      </c>
      <c r="C20" s="13">
        <v>16458.029396320529</v>
      </c>
      <c r="D20" s="13">
        <v>24299.748169434381</v>
      </c>
      <c r="E20" s="13">
        <v>22820.015016941954</v>
      </c>
      <c r="F20" s="13">
        <v>21605.873053945983</v>
      </c>
      <c r="G20" s="13">
        <v>28205.957501990379</v>
      </c>
      <c r="H20" s="13">
        <v>24006.109515639564</v>
      </c>
      <c r="I20" s="13">
        <v>19320.931838407079</v>
      </c>
      <c r="J20" s="13">
        <v>17761.809073657158</v>
      </c>
      <c r="K20" s="13">
        <v>16576.155036164237</v>
      </c>
      <c r="L20" s="13">
        <v>9098.1473569191621</v>
      </c>
      <c r="M20" s="13">
        <v>8363.9634978549602</v>
      </c>
      <c r="N20" s="13">
        <v>19684.643136844817</v>
      </c>
      <c r="O20" s="13">
        <v>14630.444982246334</v>
      </c>
      <c r="P20" s="13">
        <v>13358.074710335468</v>
      </c>
      <c r="Q20" s="13">
        <v>12548.208536417978</v>
      </c>
      <c r="R20" s="13">
        <v>16188.448922484591</v>
      </c>
      <c r="S20" s="13"/>
    </row>
    <row r="21" spans="1:19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Faturado</vt:lpstr>
      <vt:lpstr>Previsto</vt:lpstr>
      <vt:lpstr>Produzido</vt:lpstr>
      <vt:lpstr>Saldos 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Alves</dc:creator>
  <cp:lastModifiedBy>Flávio Alves</cp:lastModifiedBy>
  <dcterms:created xsi:type="dcterms:W3CDTF">2025-05-16T11:04:13Z</dcterms:created>
  <dcterms:modified xsi:type="dcterms:W3CDTF">2025-06-03T13:59:32Z</dcterms:modified>
</cp:coreProperties>
</file>